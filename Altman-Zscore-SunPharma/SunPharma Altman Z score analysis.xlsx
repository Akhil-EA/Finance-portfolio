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khil EA\Downloads\"/>
    </mc:Choice>
  </mc:AlternateContent>
  <xr:revisionPtr revIDLastSave="0" documentId="13_ncr:1_{4B7F903A-3F8C-4D21-8813-BF8C9D50D7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tman Model" sheetId="3" r:id="rId1"/>
    <sheet name="Sun Pharma Altman" sheetId="2" r:id="rId2"/>
    <sheet name="Profit &amp; Loss" sheetId="4" r:id="rId3"/>
    <sheet name="Balance Sheet" sheetId="5" r:id="rId4"/>
    <sheet name="Cashflow" sheetId="6" r:id="rId5"/>
    <sheet name="BS" sheetId="7" state="hidden" r:id="rId6"/>
    <sheet name="PnL" sheetId="8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sdID3vLPNrf4YIc5Syo5tqxkLemc1Rz5AaPf85ue7tk="/>
    </ext>
  </extLst>
</workbook>
</file>

<file path=xl/calcChain.xml><?xml version="1.0" encoding="utf-8"?>
<calcChain xmlns="http://schemas.openxmlformats.org/spreadsheetml/2006/main">
  <c r="E20" i="8" l="1"/>
  <c r="C20" i="8"/>
  <c r="E19" i="8"/>
  <c r="C19" i="8"/>
  <c r="E16" i="8"/>
  <c r="C16" i="8"/>
  <c r="E14" i="8"/>
  <c r="C14" i="8"/>
  <c r="B13" i="8"/>
  <c r="B15" i="8" s="1"/>
  <c r="E12" i="8"/>
  <c r="C12" i="8"/>
  <c r="E11" i="8"/>
  <c r="C11" i="8"/>
  <c r="E9" i="8"/>
  <c r="D9" i="8"/>
  <c r="D13" i="8" s="1"/>
  <c r="B9" i="8"/>
  <c r="C9" i="8" s="1"/>
  <c r="E8" i="8"/>
  <c r="C8" i="8"/>
  <c r="E7" i="8"/>
  <c r="C7" i="8"/>
  <c r="E6" i="8"/>
  <c r="C6" i="8"/>
  <c r="E5" i="8"/>
  <c r="C5" i="8"/>
  <c r="E3" i="8"/>
  <c r="C3" i="8"/>
  <c r="E32" i="7"/>
  <c r="C32" i="7"/>
  <c r="L31" i="7"/>
  <c r="J31" i="7"/>
  <c r="E31" i="7"/>
  <c r="C31" i="7"/>
  <c r="L30" i="7"/>
  <c r="J30" i="7"/>
  <c r="E30" i="7"/>
  <c r="C30" i="7"/>
  <c r="L29" i="7"/>
  <c r="J29" i="7"/>
  <c r="E29" i="7"/>
  <c r="C29" i="7"/>
  <c r="L28" i="7"/>
  <c r="J28" i="7"/>
  <c r="E28" i="7"/>
  <c r="C28" i="7"/>
  <c r="L27" i="7"/>
  <c r="J27" i="7"/>
  <c r="E27" i="7"/>
  <c r="C27" i="7"/>
  <c r="L26" i="7"/>
  <c r="J26" i="7"/>
  <c r="E26" i="7"/>
  <c r="C26" i="7"/>
  <c r="L25" i="7"/>
  <c r="J25" i="7"/>
  <c r="E25" i="7"/>
  <c r="C25" i="7"/>
  <c r="L24" i="7"/>
  <c r="J24" i="7"/>
  <c r="E24" i="7"/>
  <c r="C24" i="7"/>
  <c r="L23" i="7"/>
  <c r="J23" i="7"/>
  <c r="E23" i="7"/>
  <c r="L22" i="7"/>
  <c r="J22" i="7"/>
  <c r="E22" i="7"/>
  <c r="E21" i="7"/>
  <c r="C21" i="7"/>
  <c r="L20" i="7"/>
  <c r="J20" i="7"/>
  <c r="E18" i="7"/>
  <c r="C18" i="7"/>
  <c r="E17" i="7"/>
  <c r="C17" i="7"/>
  <c r="L16" i="7"/>
  <c r="J16" i="7"/>
  <c r="E16" i="7"/>
  <c r="C16" i="7"/>
  <c r="L15" i="7"/>
  <c r="J15" i="7"/>
  <c r="E15" i="7"/>
  <c r="C15" i="7"/>
  <c r="L14" i="7"/>
  <c r="J14" i="7"/>
  <c r="E14" i="7"/>
  <c r="C14" i="7"/>
  <c r="L13" i="7"/>
  <c r="J13" i="7"/>
  <c r="E13" i="7"/>
  <c r="C13" i="7"/>
  <c r="L12" i="7"/>
  <c r="J12" i="7"/>
  <c r="E12" i="7"/>
  <c r="C12" i="7"/>
  <c r="L11" i="7"/>
  <c r="J11" i="7"/>
  <c r="C10" i="7"/>
  <c r="E9" i="7"/>
  <c r="C9" i="7"/>
  <c r="E8" i="7"/>
  <c r="C8" i="7"/>
  <c r="E7" i="7"/>
  <c r="C7" i="7"/>
  <c r="L6" i="7"/>
  <c r="J6" i="7"/>
  <c r="E6" i="7"/>
  <c r="C6" i="7"/>
  <c r="L5" i="7"/>
  <c r="J5" i="7"/>
  <c r="E5" i="7"/>
  <c r="C5" i="7"/>
  <c r="L4" i="7"/>
  <c r="J4" i="7"/>
  <c r="E4" i="7"/>
  <c r="C4" i="7"/>
  <c r="G10" i="2"/>
  <c r="B7" i="2" s="1"/>
  <c r="D7" i="2" s="1"/>
  <c r="G8" i="2"/>
  <c r="B4" i="2" s="1"/>
  <c r="D4" i="2" s="1"/>
  <c r="G7" i="2"/>
  <c r="B6" i="2" s="1"/>
  <c r="D6" i="2" s="1"/>
  <c r="G6" i="2"/>
  <c r="G5" i="2"/>
  <c r="G3" i="2"/>
  <c r="G2" i="2"/>
  <c r="G4" i="2" s="1"/>
  <c r="B3" i="2" s="1"/>
  <c r="D3" i="2" s="1"/>
  <c r="C15" i="8" l="1"/>
  <c r="B17" i="8"/>
  <c r="D15" i="8"/>
  <c r="E13" i="8"/>
  <c r="C13" i="8"/>
  <c r="B21" i="8" l="1"/>
  <c r="C21" i="8" s="1"/>
  <c r="C17" i="8"/>
  <c r="G9" i="2"/>
  <c r="B5" i="2" s="1"/>
  <c r="D5" i="2" s="1"/>
  <c r="D8" i="2" s="1"/>
  <c r="E15" i="8"/>
  <c r="D17" i="8"/>
  <c r="D21" i="8" l="1"/>
  <c r="E21" i="8" s="1"/>
  <c r="E17" i="8"/>
</calcChain>
</file>

<file path=xl/sharedStrings.xml><?xml version="1.0" encoding="utf-8"?>
<sst xmlns="http://schemas.openxmlformats.org/spreadsheetml/2006/main" count="337" uniqueCount="230">
  <si>
    <t>Computation of Altman Z score for Sun Pharma Industries for the Year 2023-2024</t>
  </si>
  <si>
    <t>Working notes</t>
  </si>
  <si>
    <t>Ratio</t>
  </si>
  <si>
    <t xml:space="preserve">Value </t>
  </si>
  <si>
    <t>Weight</t>
  </si>
  <si>
    <t>V*W</t>
  </si>
  <si>
    <t>Current Assets</t>
  </si>
  <si>
    <t>x1 = working capital/total assets</t>
  </si>
  <si>
    <t>Current liabilities</t>
  </si>
  <si>
    <t>x2= retained earnings/total assets</t>
  </si>
  <si>
    <t>Working Capital</t>
  </si>
  <si>
    <t>x3= EBIT/Total Assets</t>
  </si>
  <si>
    <t>Total Liabilities</t>
  </si>
  <si>
    <t>x4= Market value of equity/Total liabilities</t>
  </si>
  <si>
    <t>Total Assets</t>
  </si>
  <si>
    <t>x5= Sales/Total Assets</t>
  </si>
  <si>
    <t>Market Value</t>
  </si>
  <si>
    <t>Z= (1.2*x1) + (1.4*x2) + (3.3*x3) + (0.6*x4) + (1*x5)</t>
  </si>
  <si>
    <t>Retained earning</t>
  </si>
  <si>
    <t>EBIT</t>
  </si>
  <si>
    <t>Altman Score Reverified on August 12 2025 as per https://www.alphaspread.com/security/nse/sunpharma/solvency/ratio/altman-z-score</t>
  </si>
  <si>
    <t>Sales</t>
  </si>
  <si>
    <t>From stock</t>
  </si>
  <si>
    <t>O/S share</t>
  </si>
  <si>
    <t xml:space="preserve">Altman Z score model is a financial model formula developed by edward altman in 1968 to predict the likelyhood of a company going bankrupt, it uses multiple financial ratios to assess the financial health of a company. Altman Z score formula </t>
  </si>
  <si>
    <t>For Public manufacturing company</t>
  </si>
  <si>
    <t>Interpreting the Z score</t>
  </si>
  <si>
    <t>Manufacturing companies</t>
  </si>
  <si>
    <t>Non-manufacturing companies</t>
  </si>
  <si>
    <t>Emerging markets</t>
  </si>
  <si>
    <t>Private Manufacturing companies</t>
  </si>
  <si>
    <t>Z=1.2x1 + 1.4x2 + 3.3x3 + 0.6x4 + 1x5</t>
  </si>
  <si>
    <t>Safe Zone(Green)</t>
  </si>
  <si>
    <t>&gt;2.99</t>
  </si>
  <si>
    <t>&gt;2.90</t>
  </si>
  <si>
    <t>&gt;2.6</t>
  </si>
  <si>
    <t>Grey Zone</t>
  </si>
  <si>
    <t>&gt;=1.81 but &lt;=2.99</t>
  </si>
  <si>
    <t>&gt;=1.23 but &lt;=2.90</t>
  </si>
  <si>
    <t>&gt;=1.1 but &lt;=2.6</t>
  </si>
  <si>
    <t>&gt;=1.23 but &lt;=2.99</t>
  </si>
  <si>
    <t>Distress Zone(Red)</t>
  </si>
  <si>
    <t>&lt;1.81</t>
  </si>
  <si>
    <t>&lt;1.23</t>
  </si>
  <si>
    <t>&lt;1.1</t>
  </si>
  <si>
    <t>For Private Manufacturing company</t>
  </si>
  <si>
    <t>Z=0.717x1 + 0.847x2 + 3.107x3+ 0.420x4 + 0.998x5</t>
  </si>
  <si>
    <t>x4= Book value/Total liabilities</t>
  </si>
  <si>
    <t>For service sector companies/Non-manufacturing (including emerging markets)</t>
  </si>
  <si>
    <t>z= 6.56x1 + 3.26x2 + 6.72x3 + 1.05x4 + 3.25</t>
  </si>
  <si>
    <t>x4= Market value of equity/Book value of liabilities</t>
  </si>
  <si>
    <t>Constant of 3.25 is added only in case of emerging markets</t>
  </si>
  <si>
    <t>Particulars</t>
  </si>
  <si>
    <t>(I) Revenue from operations</t>
  </si>
  <si>
    <t>(II) Other income</t>
  </si>
  <si>
    <t>(III) Total income (I + II)</t>
  </si>
  <si>
    <t>(IV) Expenses</t>
  </si>
  <si>
    <t>Cost of materials consumed</t>
  </si>
  <si>
    <t>Purchases of stock-in-trade</t>
  </si>
  <si>
    <t>Changes in inventories of finished goods,  stock-in-trade and work-in-progress</t>
  </si>
  <si>
    <t>Employee benefits expense</t>
  </si>
  <si>
    <t>Finance costs</t>
  </si>
  <si>
    <t>Depreciation and amortisation expense</t>
  </si>
  <si>
    <t>Other expenses</t>
  </si>
  <si>
    <t>Net (gain) / loss on foreign currency transactions</t>
  </si>
  <si>
    <t>Total expenses (IV)</t>
  </si>
  <si>
    <t>(V) Profit / (loss) before exceptional item and tax (III - IV)</t>
  </si>
  <si>
    <t>(VI) Exceptional items</t>
  </si>
  <si>
    <t>(VII) Profit / (loss) before tax (V - VI)</t>
  </si>
  <si>
    <t>(VIII) Tax expense / (credit)</t>
  </si>
  <si>
    <t>Current tax</t>
  </si>
  <si>
    <t>Deferred tax</t>
  </si>
  <si>
    <t>Total tax expense (VIII)</t>
  </si>
  <si>
    <t>(IX) Profit / (loss) for the year (VII - VIII)</t>
  </si>
  <si>
    <t>(X) Other comprehensive income</t>
  </si>
  <si>
    <t>(A) Items that will not be reclassified to profit or loss</t>
  </si>
  <si>
    <t>a. Gain / (loss) on remeasurement of the defined benefit plans</t>
  </si>
  <si>
    <t>Income tax on above</t>
  </si>
  <si>
    <t>b. Gain / (loss) on equity instrument measured at fair value through other comprehensive income</t>
  </si>
  <si>
    <t>Total - (A)</t>
  </si>
  <si>
    <t>(B) Items that may be reclassified to profit or loss</t>
  </si>
  <si>
    <t>a. Effective portion of gain / (loss) on designated portion of hedging instruments in a cash flow hedge</t>
  </si>
  <si>
    <t>Total - (B)</t>
  </si>
  <si>
    <t>(X) Total other comprehensive income (A+B)</t>
  </si>
  <si>
    <t>(XI) Total comprehensive income for the year (IX+X)</t>
  </si>
  <si>
    <t>Earnings per equity share (face value per equity share - Rs1)</t>
  </si>
  <si>
    <t>Basic (in Rs)</t>
  </si>
  <si>
    <t>Diluted (in Rs)</t>
  </si>
  <si>
    <t>ASSETS</t>
  </si>
  <si>
    <t>EQUITY AND LIABILITIES</t>
  </si>
  <si>
    <t>(1) Non-current assets</t>
  </si>
  <si>
    <t>EQUITY</t>
  </si>
  <si>
    <t>(a) Property plant and equipment</t>
  </si>
  <si>
    <t>(a) Equity share capital</t>
  </si>
  <si>
    <t>(b) Capital work-in-progress</t>
  </si>
  <si>
    <t>(b) Other equity</t>
  </si>
  <si>
    <t>(c) Goodwill</t>
  </si>
  <si>
    <t>Total equity</t>
  </si>
  <si>
    <t>(d) Other intangible assets</t>
  </si>
  <si>
    <t>(e) Intangible assets under development</t>
  </si>
  <si>
    <t>LIABILITY</t>
  </si>
  <si>
    <t>(f) Investments in the nature of equity in subsidiaries</t>
  </si>
  <si>
    <t>(1) Non-current liabilities</t>
  </si>
  <si>
    <t>(g) Investments in the nature of equity in associates</t>
  </si>
  <si>
    <t>-</t>
  </si>
  <si>
    <t>(a) Financial liabilities</t>
  </si>
  <si>
    <t>(h) Financial assets</t>
  </si>
  <si>
    <t>(i) Borrowings</t>
  </si>
  <si>
    <t>(i) Investments</t>
  </si>
  <si>
    <t>(ii) Lease liabilities</t>
  </si>
  <si>
    <t>(ii) Loans</t>
  </si>
  <si>
    <t>(iii) Other financial liabilities</t>
  </si>
  <si>
    <t>(iii) Other financial assets</t>
  </si>
  <si>
    <t>(b) Other non-current liabilities</t>
  </si>
  <si>
    <t>(i) Deferred tax assets (Net)</t>
  </si>
  <si>
    <t>(c) Provisions</t>
  </si>
  <si>
    <t>(j) Income tax assets (Net)</t>
  </si>
  <si>
    <t>Total non-current liabilities</t>
  </si>
  <si>
    <t>(k) Other non-current assets</t>
  </si>
  <si>
    <t>Total non-current assets</t>
  </si>
  <si>
    <t>(2) Current liabilities</t>
  </si>
  <si>
    <t>(2) Current assets</t>
  </si>
  <si>
    <t>(a) Inventories</t>
  </si>
  <si>
    <t>(ii) Trade payables</t>
  </si>
  <si>
    <t>(b) Financial assets</t>
  </si>
  <si>
    <t>(a) total outstanding dues of micro and small enterprises</t>
  </si>
  <si>
    <t>(b) total outstanding dues of creditors other than micro and small enterprises</t>
  </si>
  <si>
    <t>(ii) Trade receivables</t>
  </si>
  <si>
    <t>(iii) Lease liabilities</t>
  </si>
  <si>
    <t>(iii) Cash and cash equivalents</t>
  </si>
  <si>
    <t>(iv) Other financial liabilities</t>
  </si>
  <si>
    <t>(iv) Bank balances other than (iii) above</t>
  </si>
  <si>
    <t>(b) Other current liabilities</t>
  </si>
  <si>
    <t>(v) Loans</t>
  </si>
  <si>
    <t>(vi) Other financial assets</t>
  </si>
  <si>
    <t>Total current liabilities</t>
  </si>
  <si>
    <t>(c) Other current assets</t>
  </si>
  <si>
    <t>Liabilities directly associated with assets classified as held for sale</t>
  </si>
  <si>
    <t>Total current assets</t>
  </si>
  <si>
    <t>Total liabilities</t>
  </si>
  <si>
    <t>Assets classified as held for sale</t>
  </si>
  <si>
    <t>TOTAL EQUITY AND LIABILITIES</t>
  </si>
  <si>
    <t>TOTAL ASSETS</t>
  </si>
  <si>
    <t>Notes:</t>
  </si>
  <si>
    <t>A. Cash flow from operating activities</t>
  </si>
  <si>
    <t>1. Cash and cash equivalents comprises of</t>
  </si>
  <si>
    <t>Profit / (loss) before tax</t>
  </si>
  <si>
    <t>Adjustments for:</t>
  </si>
  <si>
    <t>Balances with banks</t>
  </si>
  <si>
    <t>In current accounts</t>
  </si>
  <si>
    <t>Net (gain) / loss on sale / write off / impairment of property/ plant and equipment/ other intangible assets and intangible assets under development</t>
  </si>
  <si>
    <t>Cash on hand</t>
  </si>
  <si>
    <t>(Gain) / loss on derecognition of Right-of-use assets</t>
  </si>
  <si>
    <t>Cash and cash equivalents in statement of cash flow (Refer Note 15)</t>
  </si>
  <si>
    <t>Interest income</t>
  </si>
  <si>
    <t>2. Change in financial liability / asset arising from financing activities</t>
  </si>
  <si>
    <t>Net (gain) / loss arising on financial assets measured at fair value through profit or loss</t>
  </si>
  <si>
    <t>Net (gain) / loss on sale of financial assets measured at fair value through profit or loss</t>
  </si>
  <si>
    <t>Borrowings Borrowings</t>
  </si>
  <si>
    <t>Provision / write off / (reversal) for doubtful trade receivables / advances</t>
  </si>
  <si>
    <t>Opening balance</t>
  </si>
  <si>
    <t>Sundry balances written back  net</t>
  </si>
  <si>
    <t>Changes from financing cash flows</t>
  </si>
  <si>
    <t>Write off of investment due to dissolution of subsidiary</t>
  </si>
  <si>
    <t>Closing balance</t>
  </si>
  <si>
    <t>Impairment in value of investment</t>
  </si>
  <si>
    <t>Effect of exchange rate changes</t>
  </si>
  <si>
    <t>Operating profit / (loss) before working capital changes</t>
  </si>
  <si>
    <t>Movements in working capital:</t>
  </si>
  <si>
    <t>(Increase) / decrease in inventories</t>
  </si>
  <si>
    <t>(Increase) / decrease in trade receivables</t>
  </si>
  <si>
    <t>(Increase) / decrease in other assets</t>
  </si>
  <si>
    <t>Increase / (decrease) in trade payables</t>
  </si>
  <si>
    <t>Increase / (decrease) in other liabilities</t>
  </si>
  <si>
    <t>Increase / (decrease) in provisions</t>
  </si>
  <si>
    <t>Cash generated from / (used in) operations</t>
  </si>
  <si>
    <t>Net Income tax (paid) / refund received (including interest on refunds)</t>
  </si>
  <si>
    <t>Net cash generated from / (used in) operating activities (A)</t>
  </si>
  <si>
    <t>B. Cash flow from investing activities</t>
  </si>
  <si>
    <t>Payments for purchase of property  plant and equipment (including capital work-in-progress  other intangible assets and intangible assets under development)</t>
  </si>
  <si>
    <t>Proceeds from disposal of property  plant and equipment and other intangible assets</t>
  </si>
  <si>
    <t>Loans / Inter corporate deposits</t>
  </si>
  <si>
    <t>Given to / placed</t>
  </si>
  <si>
    <t>Subsidiary companies</t>
  </si>
  <si>
    <t>Received back / matured from</t>
  </si>
  <si>
    <t>Purchase of investments</t>
  </si>
  <si>
    <t>Associate</t>
  </si>
  <si>
    <t>Others</t>
  </si>
  <si>
    <t>Proceeds from sale of investments</t>
  </si>
  <si>
    <t>Bank balances not considered as cash and cash equivalents</t>
  </si>
  <si>
    <t>Fixed deposits / margin money placed</t>
  </si>
  <si>
    <t>Fixed deposits / margin money matured</t>
  </si>
  <si>
    <t>Interest received</t>
  </si>
  <si>
    <t>Net cash flow from / (used in) investing activities (B)</t>
  </si>
  <si>
    <t>C. Cash flow from financing activities</t>
  </si>
  <si>
    <t>Proceeds from borrowings</t>
  </si>
  <si>
    <t>Subsidiary company</t>
  </si>
  <si>
    <t>Repayment of borrowings</t>
  </si>
  <si>
    <t>Net increase / (decrease) in working capital demand loans</t>
  </si>
  <si>
    <t>Repayment towards lease liabilities</t>
  </si>
  <si>
    <t>Interest paid on lease liabilities</t>
  </si>
  <si>
    <t>Interest paid</t>
  </si>
  <si>
    <t>Dividend paid</t>
  </si>
  <si>
    <t>Net cash flow from / (used in) financing activities (C)</t>
  </si>
  <si>
    <t>Net increase/ (decrease) in cash and cash equivalents (A+B+C)</t>
  </si>
  <si>
    <t>Cash and cash equivalents at the beginning of the year</t>
  </si>
  <si>
    <t>Effect of exchange differences on restatement of foreign currency cash and cash equivalents</t>
  </si>
  <si>
    <t>Cash and cash equivalents at the end of the year</t>
  </si>
  <si>
    <t>percentage</t>
  </si>
  <si>
    <t>Retained Earnings</t>
  </si>
  <si>
    <t>Particular</t>
  </si>
  <si>
    <t>% Change</t>
  </si>
  <si>
    <t>Revenue from Operations</t>
  </si>
  <si>
    <t>Less: COGS</t>
  </si>
  <si>
    <t xml:space="preserve"> Raw Materials </t>
  </si>
  <si>
    <t xml:space="preserve"> Power &amp; Fuel Cost </t>
  </si>
  <si>
    <t xml:space="preserve"> Employee Cost </t>
  </si>
  <si>
    <t xml:space="preserve"> Other Manufacturing Expenses </t>
  </si>
  <si>
    <t>Gross Profit</t>
  </si>
  <si>
    <t>Less: Cash Operating Expenses</t>
  </si>
  <si>
    <t xml:space="preserve"> Selling and Administration Expenses </t>
  </si>
  <si>
    <t xml:space="preserve"> Miscellaneous Expenses </t>
  </si>
  <si>
    <t>EBITDA</t>
  </si>
  <si>
    <t>Less: Depreciation and amortization</t>
  </si>
  <si>
    <t>Less: Interest/Finance cost</t>
  </si>
  <si>
    <t>EBT</t>
  </si>
  <si>
    <t>Less: Tax</t>
  </si>
  <si>
    <t xml:space="preserve"> Tax </t>
  </si>
  <si>
    <t xml:space="preserve"> Deferred Tax </t>
  </si>
  <si>
    <t>Net profit/EAT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</si>
</sst>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%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i/>
      <sz val="11"/>
      <color rgb="FFFEF2CB"/>
      <name val="Calibri"/>
      <family val="2"/>
    </font>
    <font>
      <b/>
      <i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F9999"/>
        <bgColor rgb="FFFF9999"/>
      </patternFill>
    </fill>
    <fill>
      <patternFill patternType="solid">
        <fgColor rgb="FFC55A11"/>
        <bgColor rgb="FFC55A11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1" xfId="0" applyFont="1" applyBorder="1"/>
    <xf numFmtId="0" fontId="2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2" fontId="2" fillId="0" borderId="9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vertical="top" wrapText="1"/>
    </xf>
    <xf numFmtId="0" fontId="2" fillId="0" borderId="19" xfId="0" applyFont="1" applyBorder="1" applyAlignment="1">
      <alignment horizontal="left"/>
    </xf>
    <xf numFmtId="2" fontId="2" fillId="0" borderId="20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0" borderId="21" xfId="0" applyFont="1" applyBorder="1" applyAlignment="1">
      <alignment wrapText="1"/>
    </xf>
    <xf numFmtId="0" fontId="2" fillId="0" borderId="0" xfId="0" applyFont="1"/>
    <xf numFmtId="0" fontId="1" fillId="0" borderId="22" xfId="0" applyFont="1" applyBorder="1"/>
    <xf numFmtId="0" fontId="2" fillId="2" borderId="23" xfId="0" applyFont="1" applyFill="1" applyBorder="1"/>
    <xf numFmtId="0" fontId="2" fillId="3" borderId="1" xfId="0" applyFont="1" applyFill="1" applyBorder="1" applyAlignment="1">
      <alignment horizontal="left"/>
    </xf>
    <xf numFmtId="0" fontId="2" fillId="0" borderId="23" xfId="0" applyFont="1" applyBorder="1"/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0" borderId="24" xfId="0" applyFont="1" applyBorder="1"/>
    <xf numFmtId="0" fontId="1" fillId="0" borderId="25" xfId="0" applyFont="1" applyBorder="1"/>
    <xf numFmtId="0" fontId="6" fillId="6" borderId="26" xfId="0" applyFont="1" applyFill="1" applyBorder="1" applyAlignment="1">
      <alignment horizontal="left"/>
    </xf>
    <xf numFmtId="0" fontId="6" fillId="6" borderId="27" xfId="0" applyFont="1" applyFill="1" applyBorder="1" applyAlignment="1">
      <alignment horizontal="left"/>
    </xf>
    <xf numFmtId="0" fontId="6" fillId="6" borderId="28" xfId="0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2" fontId="2" fillId="0" borderId="29" xfId="0" applyNumberFormat="1" applyFont="1" applyBorder="1" applyAlignment="1">
      <alignment horizontal="left"/>
    </xf>
    <xf numFmtId="2" fontId="2" fillId="0" borderId="0" xfId="0" applyNumberFormat="1" applyFont="1"/>
    <xf numFmtId="2" fontId="7" fillId="0" borderId="8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2" fontId="7" fillId="0" borderId="9" xfId="0" applyNumberFormat="1" applyFont="1" applyBorder="1" applyAlignment="1">
      <alignment horizontal="left"/>
    </xf>
    <xf numFmtId="2" fontId="2" fillId="0" borderId="8" xfId="0" applyNumberFormat="1" applyFont="1" applyBorder="1" applyAlignment="1">
      <alignment horizontal="left"/>
    </xf>
    <xf numFmtId="2" fontId="7" fillId="2" borderId="8" xfId="0" applyNumberFormat="1" applyFont="1" applyFill="1" applyBorder="1" applyAlignment="1">
      <alignment horizontal="left"/>
    </xf>
    <xf numFmtId="2" fontId="7" fillId="2" borderId="1" xfId="0" applyNumberFormat="1" applyFont="1" applyFill="1" applyBorder="1" applyAlignment="1">
      <alignment horizontal="left"/>
    </xf>
    <xf numFmtId="2" fontId="7" fillId="2" borderId="9" xfId="0" applyNumberFormat="1" applyFont="1" applyFill="1" applyBorder="1" applyAlignment="1">
      <alignment horizontal="left"/>
    </xf>
    <xf numFmtId="2" fontId="7" fillId="2" borderId="19" xfId="0" applyNumberFormat="1" applyFont="1" applyFill="1" applyBorder="1" applyAlignment="1">
      <alignment horizontal="left"/>
    </xf>
    <xf numFmtId="2" fontId="7" fillId="2" borderId="29" xfId="0" applyNumberFormat="1" applyFont="1" applyFill="1" applyBorder="1" applyAlignment="1">
      <alignment horizontal="left"/>
    </xf>
    <xf numFmtId="2" fontId="7" fillId="2" borderId="20" xfId="0" applyNumberFormat="1" applyFont="1" applyFill="1" applyBorder="1" applyAlignment="1">
      <alignment horizontal="left"/>
    </xf>
    <xf numFmtId="2" fontId="6" fillId="6" borderId="26" xfId="0" applyNumberFormat="1" applyFont="1" applyFill="1" applyBorder="1" applyAlignment="1">
      <alignment horizontal="left"/>
    </xf>
    <xf numFmtId="0" fontId="6" fillId="6" borderId="1" xfId="0" applyFont="1" applyFill="1" applyBorder="1"/>
    <xf numFmtId="2" fontId="2" fillId="0" borderId="19" xfId="0" applyNumberFormat="1" applyFont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10" fontId="1" fillId="2" borderId="1" xfId="0" applyNumberFormat="1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0" fontId="1" fillId="0" borderId="1" xfId="0" applyNumberFormat="1" applyFont="1" applyBorder="1" applyAlignment="1">
      <alignment horizontal="left"/>
    </xf>
    <xf numFmtId="10" fontId="2" fillId="0" borderId="0" xfId="0" applyNumberFormat="1" applyFont="1"/>
    <xf numFmtId="9" fontId="2" fillId="0" borderId="0" xfId="0" applyNumberFormat="1" applyFont="1"/>
    <xf numFmtId="0" fontId="11" fillId="2" borderId="1" xfId="0" applyFont="1" applyFill="1" applyBorder="1"/>
    <xf numFmtId="10" fontId="12" fillId="2" borderId="1" xfId="0" applyNumberFormat="1" applyFont="1" applyFill="1" applyBorder="1"/>
    <xf numFmtId="9" fontId="13" fillId="2" borderId="1" xfId="0" applyNumberFormat="1" applyFont="1" applyFill="1" applyBorder="1"/>
    <xf numFmtId="10" fontId="2" fillId="0" borderId="1" xfId="0" applyNumberFormat="1" applyFont="1" applyBorder="1"/>
    <xf numFmtId="9" fontId="2" fillId="0" borderId="1" xfId="0" applyNumberFormat="1" applyFont="1" applyBorder="1"/>
    <xf numFmtId="0" fontId="14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/>
    <xf numFmtId="10" fontId="1" fillId="0" borderId="1" xfId="0" applyNumberFormat="1" applyFont="1" applyBorder="1"/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2" borderId="5" xfId="0" applyFont="1" applyFill="1" applyBorder="1" applyAlignment="1">
      <alignment horizontal="left"/>
    </xf>
    <xf numFmtId="0" fontId="3" fillId="0" borderId="6" xfId="0" applyFont="1" applyBorder="1"/>
    <xf numFmtId="0" fontId="2" fillId="2" borderId="10" xfId="0" applyFont="1" applyFill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2" fontId="1" fillId="0" borderId="30" xfId="0" applyNumberFormat="1" applyFont="1" applyBorder="1" applyAlignment="1">
      <alignment horizontal="left"/>
    </xf>
    <xf numFmtId="0" fontId="3" fillId="0" borderId="31" xfId="0" applyFont="1" applyBorder="1"/>
    <xf numFmtId="2" fontId="8" fillId="2" borderId="30" xfId="0" applyNumberFormat="1" applyFont="1" applyFill="1" applyBorder="1" applyAlignment="1">
      <alignment horizontal="left"/>
    </xf>
    <xf numFmtId="2" fontId="2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  <xf numFmtId="2" fontId="1" fillId="2" borderId="30" xfId="0" applyNumberFormat="1" applyFont="1" applyFill="1" applyBorder="1" applyAlignment="1">
      <alignment horizontal="left"/>
    </xf>
    <xf numFmtId="2" fontId="1" fillId="2" borderId="10" xfId="0" applyNumberFormat="1" applyFont="1" applyFill="1" applyBorder="1" applyAlignment="1">
      <alignment horizontal="left"/>
    </xf>
    <xf numFmtId="2" fontId="1" fillId="0" borderId="10" xfId="0" applyNumberFormat="1" applyFont="1" applyBorder="1" applyAlignment="1">
      <alignment horizontal="left"/>
    </xf>
    <xf numFmtId="2" fontId="9" fillId="2" borderId="10" xfId="0" applyNumberFormat="1" applyFont="1" applyFill="1" applyBorder="1" applyAlignment="1">
      <alignment horizontal="left"/>
    </xf>
    <xf numFmtId="2" fontId="2" fillId="0" borderId="10" xfId="0" applyNumberFormat="1" applyFont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1" defaultTableStyle="TableStyleMedium2" defaultPivotStyle="PivotStyleLight16">
    <tableStyle name="Invisible" pivot="0" table="0" count="0" xr9:uid="{1F1620DB-B3FA-44F3-8B7A-87474596A1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4400550" cy="1962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32</xdr:row>
      <xdr:rowOff>171450</xdr:rowOff>
    </xdr:from>
    <xdr:ext cx="12896850" cy="3486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62" workbookViewId="0"/>
  </sheetViews>
  <sheetFormatPr defaultColWidth="14.453125" defaultRowHeight="15" customHeight="1" x14ac:dyDescent="0.35"/>
  <cols>
    <col min="1" max="1" width="76.26953125" customWidth="1"/>
    <col min="2" max="2" width="8.7265625" customWidth="1"/>
    <col min="3" max="3" width="21" customWidth="1"/>
    <col min="4" max="4" width="23.54296875" customWidth="1"/>
    <col min="5" max="5" width="27.81640625" customWidth="1"/>
    <col min="6" max="6" width="16.453125" customWidth="1"/>
    <col min="7" max="7" width="30.26953125" customWidth="1"/>
    <col min="8" max="26" width="8.7265625" customWidth="1"/>
  </cols>
  <sheetData>
    <row r="1" spans="1:26" ht="42" customHeight="1" x14ac:dyDescent="0.35">
      <c r="A1" s="14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4.25" customHeight="1" x14ac:dyDescent="0.35">
      <c r="A3" s="16" t="s">
        <v>25</v>
      </c>
      <c r="B3" s="15"/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 x14ac:dyDescent="0.35">
      <c r="A4" s="17" t="s">
        <v>31</v>
      </c>
      <c r="B4" s="15"/>
      <c r="C4" s="18" t="s">
        <v>32</v>
      </c>
      <c r="D4" s="18" t="s">
        <v>33</v>
      </c>
      <c r="E4" s="18" t="s">
        <v>34</v>
      </c>
      <c r="F4" s="18" t="s">
        <v>35</v>
      </c>
      <c r="G4" s="18" t="s">
        <v>33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 x14ac:dyDescent="0.35">
      <c r="A5" s="19" t="s">
        <v>7</v>
      </c>
      <c r="B5" s="15"/>
      <c r="C5" s="20" t="s">
        <v>36</v>
      </c>
      <c r="D5" s="20" t="s">
        <v>37</v>
      </c>
      <c r="E5" s="20" t="s">
        <v>38</v>
      </c>
      <c r="F5" s="20" t="s">
        <v>39</v>
      </c>
      <c r="G5" s="20" t="s">
        <v>40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 x14ac:dyDescent="0.35">
      <c r="A6" s="19" t="s">
        <v>9</v>
      </c>
      <c r="B6" s="15"/>
      <c r="C6" s="21" t="s">
        <v>41</v>
      </c>
      <c r="D6" s="21" t="s">
        <v>42</v>
      </c>
      <c r="E6" s="21" t="s">
        <v>43</v>
      </c>
      <c r="F6" s="21" t="s">
        <v>44</v>
      </c>
      <c r="G6" s="21" t="s">
        <v>43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25" customHeight="1" x14ac:dyDescent="0.35">
      <c r="A7" s="19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 x14ac:dyDescent="0.35">
      <c r="A8" s="19" t="s">
        <v>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 x14ac:dyDescent="0.35">
      <c r="A9" s="22" t="s">
        <v>15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 x14ac:dyDescent="0.35">
      <c r="A11" s="16" t="s">
        <v>45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 x14ac:dyDescent="0.35">
      <c r="A12" s="17" t="s">
        <v>46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 x14ac:dyDescent="0.35">
      <c r="A13" s="19" t="s">
        <v>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 x14ac:dyDescent="0.35">
      <c r="A14" s="19" t="s">
        <v>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 x14ac:dyDescent="0.35">
      <c r="A15" s="19" t="s">
        <v>11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 x14ac:dyDescent="0.35">
      <c r="A16" s="19" t="s">
        <v>47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 x14ac:dyDescent="0.35">
      <c r="A17" s="22" t="s">
        <v>15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 x14ac:dyDescent="0.35">
      <c r="A19" s="23" t="s">
        <v>48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 x14ac:dyDescent="0.35">
      <c r="A20" s="17" t="s">
        <v>49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 x14ac:dyDescent="0.35">
      <c r="A21" s="19" t="s">
        <v>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 x14ac:dyDescent="0.35">
      <c r="A22" s="19" t="s">
        <v>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 x14ac:dyDescent="0.35">
      <c r="A23" s="19" t="s">
        <v>11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 x14ac:dyDescent="0.35">
      <c r="A24" s="19" t="s">
        <v>50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 x14ac:dyDescent="0.35">
      <c r="A25" s="22" t="s">
        <v>15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 x14ac:dyDescent="0.35">
      <c r="A27" s="15" t="s">
        <v>51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 x14ac:dyDescent="0.3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 x14ac:dyDescent="0.3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 x14ac:dyDescent="0.3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 x14ac:dyDescent="0.3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 x14ac:dyDescent="0.3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 x14ac:dyDescent="0.3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 x14ac:dyDescent="0.3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 x14ac:dyDescent="0.3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 x14ac:dyDescent="0.3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 x14ac:dyDescent="0.3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 x14ac:dyDescent="0.3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 x14ac:dyDescent="0.3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 x14ac:dyDescent="0.3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 x14ac:dyDescent="0.3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 x14ac:dyDescent="0.3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 x14ac:dyDescent="0.3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 x14ac:dyDescent="0.3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 x14ac:dyDescent="0.3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 x14ac:dyDescent="0.3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 x14ac:dyDescent="0.3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 x14ac:dyDescent="0.3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 x14ac:dyDescent="0.3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 x14ac:dyDescent="0.3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 x14ac:dyDescent="0.3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 x14ac:dyDescent="0.3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 x14ac:dyDescent="0.3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 x14ac:dyDescent="0.3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 x14ac:dyDescent="0.3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 x14ac:dyDescent="0.3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 x14ac:dyDescent="0.3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 x14ac:dyDescent="0.3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 x14ac:dyDescent="0.3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 x14ac:dyDescent="0.3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 x14ac:dyDescent="0.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 x14ac:dyDescent="0.3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 x14ac:dyDescent="0.3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 x14ac:dyDescent="0.3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 x14ac:dyDescent="0.3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 x14ac:dyDescent="0.3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 x14ac:dyDescent="0.3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 x14ac:dyDescent="0.3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 x14ac:dyDescent="0.3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 x14ac:dyDescent="0.3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 x14ac:dyDescent="0.3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 x14ac:dyDescent="0.3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 x14ac:dyDescent="0.3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 x14ac:dyDescent="0.3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 x14ac:dyDescent="0.3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 x14ac:dyDescent="0.3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 x14ac:dyDescent="0.3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 x14ac:dyDescent="0.3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 x14ac:dyDescent="0.3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 x14ac:dyDescent="0.3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 x14ac:dyDescent="0.3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 x14ac:dyDescent="0.3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 x14ac:dyDescent="0.3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 x14ac:dyDescent="0.3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 x14ac:dyDescent="0.3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 x14ac:dyDescent="0.3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 x14ac:dyDescent="0.3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 x14ac:dyDescent="0.3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 x14ac:dyDescent="0.3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 x14ac:dyDescent="0.3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 x14ac:dyDescent="0.3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 x14ac:dyDescent="0.3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 x14ac:dyDescent="0.3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 x14ac:dyDescent="0.3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 x14ac:dyDescent="0.3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 x14ac:dyDescent="0.3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 x14ac:dyDescent="0.3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 x14ac:dyDescent="0.3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 x14ac:dyDescent="0.3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 x14ac:dyDescent="0.3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 x14ac:dyDescent="0.3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 x14ac:dyDescent="0.3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 x14ac:dyDescent="0.3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 x14ac:dyDescent="0.3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 x14ac:dyDescent="0.3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 x14ac:dyDescent="0.3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 x14ac:dyDescent="0.3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 x14ac:dyDescent="0.3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 x14ac:dyDescent="0.3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 x14ac:dyDescent="0.3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 x14ac:dyDescent="0.3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 x14ac:dyDescent="0.3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 x14ac:dyDescent="0.3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 x14ac:dyDescent="0.3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 x14ac:dyDescent="0.3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 x14ac:dyDescent="0.3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 x14ac:dyDescent="0.3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 x14ac:dyDescent="0.3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 x14ac:dyDescent="0.3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 x14ac:dyDescent="0.3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 x14ac:dyDescent="0.3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 x14ac:dyDescent="0.3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 x14ac:dyDescent="0.3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 x14ac:dyDescent="0.3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 x14ac:dyDescent="0.3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 x14ac:dyDescent="0.3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 x14ac:dyDescent="0.3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 x14ac:dyDescent="0.3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 x14ac:dyDescent="0.3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 x14ac:dyDescent="0.3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 x14ac:dyDescent="0.3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 x14ac:dyDescent="0.3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 x14ac:dyDescent="0.3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 x14ac:dyDescent="0.3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 x14ac:dyDescent="0.3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 x14ac:dyDescent="0.3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 x14ac:dyDescent="0.3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 x14ac:dyDescent="0.3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 x14ac:dyDescent="0.3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 x14ac:dyDescent="0.3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 x14ac:dyDescent="0.3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 x14ac:dyDescent="0.3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 x14ac:dyDescent="0.3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 x14ac:dyDescent="0.3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 x14ac:dyDescent="0.3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 x14ac:dyDescent="0.3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 x14ac:dyDescent="0.3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 x14ac:dyDescent="0.3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 x14ac:dyDescent="0.3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 x14ac:dyDescent="0.3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 x14ac:dyDescent="0.3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 x14ac:dyDescent="0.3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 x14ac:dyDescent="0.3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 x14ac:dyDescent="0.3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 x14ac:dyDescent="0.3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 x14ac:dyDescent="0.3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 x14ac:dyDescent="0.3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 x14ac:dyDescent="0.3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 x14ac:dyDescent="0.3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 x14ac:dyDescent="0.3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 x14ac:dyDescent="0.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 x14ac:dyDescent="0.3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 x14ac:dyDescent="0.3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 x14ac:dyDescent="0.3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 x14ac:dyDescent="0.3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 x14ac:dyDescent="0.3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 x14ac:dyDescent="0.3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 x14ac:dyDescent="0.3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 x14ac:dyDescent="0.3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 x14ac:dyDescent="0.3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 x14ac:dyDescent="0.3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 x14ac:dyDescent="0.3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 x14ac:dyDescent="0.3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 x14ac:dyDescent="0.3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 x14ac:dyDescent="0.3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 x14ac:dyDescent="0.3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 x14ac:dyDescent="0.3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 x14ac:dyDescent="0.3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 x14ac:dyDescent="0.3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 x14ac:dyDescent="0.3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 x14ac:dyDescent="0.3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 x14ac:dyDescent="0.3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 x14ac:dyDescent="0.3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 x14ac:dyDescent="0.3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 x14ac:dyDescent="0.3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 x14ac:dyDescent="0.3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 x14ac:dyDescent="0.3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 x14ac:dyDescent="0.3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 x14ac:dyDescent="0.3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 x14ac:dyDescent="0.3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 x14ac:dyDescent="0.3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 x14ac:dyDescent="0.3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 x14ac:dyDescent="0.3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 x14ac:dyDescent="0.3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 x14ac:dyDescent="0.3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 x14ac:dyDescent="0.3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 x14ac:dyDescent="0.3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 x14ac:dyDescent="0.3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 x14ac:dyDescent="0.3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 x14ac:dyDescent="0.3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 x14ac:dyDescent="0.3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 x14ac:dyDescent="0.3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 x14ac:dyDescent="0.3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 x14ac:dyDescent="0.3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 x14ac:dyDescent="0.3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 x14ac:dyDescent="0.3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 x14ac:dyDescent="0.3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 x14ac:dyDescent="0.3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 x14ac:dyDescent="0.3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 x14ac:dyDescent="0.3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 x14ac:dyDescent="0.3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 x14ac:dyDescent="0.3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 x14ac:dyDescent="0.3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 x14ac:dyDescent="0.3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 x14ac:dyDescent="0.3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 x14ac:dyDescent="0.3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 x14ac:dyDescent="0.3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 x14ac:dyDescent="0.3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 x14ac:dyDescent="0.3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 x14ac:dyDescent="0.3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 x14ac:dyDescent="0.3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 x14ac:dyDescent="0.3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 x14ac:dyDescent="0.3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 x14ac:dyDescent="0.3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 x14ac:dyDescent="0.3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 x14ac:dyDescent="0.3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 x14ac:dyDescent="0.3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 x14ac:dyDescent="0.3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 x14ac:dyDescent="0.3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 x14ac:dyDescent="0.3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 x14ac:dyDescent="0.3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 x14ac:dyDescent="0.3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 x14ac:dyDescent="0.3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 x14ac:dyDescent="0.3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 x14ac:dyDescent="0.3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 x14ac:dyDescent="0.3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 x14ac:dyDescent="0.3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 x14ac:dyDescent="0.3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 x14ac:dyDescent="0.3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 x14ac:dyDescent="0.3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 x14ac:dyDescent="0.3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 x14ac:dyDescent="0.3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 x14ac:dyDescent="0.3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 x14ac:dyDescent="0.3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 x14ac:dyDescent="0.3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 x14ac:dyDescent="0.3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 x14ac:dyDescent="0.3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 x14ac:dyDescent="0.3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 x14ac:dyDescent="0.3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 x14ac:dyDescent="0.3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 x14ac:dyDescent="0.3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 x14ac:dyDescent="0.3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 x14ac:dyDescent="0.3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 x14ac:dyDescent="0.3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 x14ac:dyDescent="0.3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 x14ac:dyDescent="0.3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 x14ac:dyDescent="0.3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 x14ac:dyDescent="0.3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 x14ac:dyDescent="0.3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 x14ac:dyDescent="0.3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 x14ac:dyDescent="0.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 x14ac:dyDescent="0.3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 x14ac:dyDescent="0.3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 x14ac:dyDescent="0.3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 x14ac:dyDescent="0.3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 x14ac:dyDescent="0.3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 x14ac:dyDescent="0.3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 x14ac:dyDescent="0.3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 x14ac:dyDescent="0.3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 x14ac:dyDescent="0.3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 x14ac:dyDescent="0.3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 x14ac:dyDescent="0.3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 x14ac:dyDescent="0.3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 x14ac:dyDescent="0.3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 x14ac:dyDescent="0.3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 x14ac:dyDescent="0.3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 x14ac:dyDescent="0.3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 x14ac:dyDescent="0.3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 x14ac:dyDescent="0.3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 x14ac:dyDescent="0.3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 x14ac:dyDescent="0.3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 x14ac:dyDescent="0.3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 x14ac:dyDescent="0.3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 x14ac:dyDescent="0.3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 x14ac:dyDescent="0.3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 x14ac:dyDescent="0.3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 x14ac:dyDescent="0.3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 x14ac:dyDescent="0.3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 x14ac:dyDescent="0.3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 x14ac:dyDescent="0.3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 x14ac:dyDescent="0.3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 x14ac:dyDescent="0.3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 x14ac:dyDescent="0.3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 x14ac:dyDescent="0.3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 x14ac:dyDescent="0.3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 x14ac:dyDescent="0.3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 x14ac:dyDescent="0.3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 x14ac:dyDescent="0.3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 x14ac:dyDescent="0.3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 x14ac:dyDescent="0.3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 x14ac:dyDescent="0.3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 x14ac:dyDescent="0.3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 x14ac:dyDescent="0.3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 x14ac:dyDescent="0.3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 x14ac:dyDescent="0.3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 x14ac:dyDescent="0.3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 x14ac:dyDescent="0.3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 x14ac:dyDescent="0.3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 x14ac:dyDescent="0.3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 x14ac:dyDescent="0.3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 x14ac:dyDescent="0.3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 x14ac:dyDescent="0.3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 x14ac:dyDescent="0.3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 x14ac:dyDescent="0.3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 x14ac:dyDescent="0.3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 x14ac:dyDescent="0.3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 x14ac:dyDescent="0.3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 x14ac:dyDescent="0.3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 x14ac:dyDescent="0.3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 x14ac:dyDescent="0.3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 x14ac:dyDescent="0.3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 x14ac:dyDescent="0.3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 x14ac:dyDescent="0.3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 x14ac:dyDescent="0.3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 x14ac:dyDescent="0.3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 x14ac:dyDescent="0.3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 x14ac:dyDescent="0.3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 x14ac:dyDescent="0.3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 x14ac:dyDescent="0.3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 x14ac:dyDescent="0.3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 x14ac:dyDescent="0.3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 x14ac:dyDescent="0.3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 x14ac:dyDescent="0.3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 x14ac:dyDescent="0.3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 x14ac:dyDescent="0.3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 x14ac:dyDescent="0.3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 x14ac:dyDescent="0.3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 x14ac:dyDescent="0.3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 x14ac:dyDescent="0.3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 x14ac:dyDescent="0.3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 x14ac:dyDescent="0.3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 x14ac:dyDescent="0.3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 x14ac:dyDescent="0.3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 x14ac:dyDescent="0.3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 x14ac:dyDescent="0.3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 x14ac:dyDescent="0.3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 x14ac:dyDescent="0.3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 x14ac:dyDescent="0.3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 x14ac:dyDescent="0.3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 x14ac:dyDescent="0.3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 x14ac:dyDescent="0.3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 x14ac:dyDescent="0.3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 x14ac:dyDescent="0.3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 x14ac:dyDescent="0.3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 x14ac:dyDescent="0.3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 x14ac:dyDescent="0.3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 x14ac:dyDescent="0.3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 x14ac:dyDescent="0.3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 x14ac:dyDescent="0.3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 x14ac:dyDescent="0.3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 x14ac:dyDescent="0.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 x14ac:dyDescent="0.3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 x14ac:dyDescent="0.3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 x14ac:dyDescent="0.3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 x14ac:dyDescent="0.3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 x14ac:dyDescent="0.3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 x14ac:dyDescent="0.3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 x14ac:dyDescent="0.3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 x14ac:dyDescent="0.3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 x14ac:dyDescent="0.3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 x14ac:dyDescent="0.3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 x14ac:dyDescent="0.3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 x14ac:dyDescent="0.3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 x14ac:dyDescent="0.3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 x14ac:dyDescent="0.3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 x14ac:dyDescent="0.3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 x14ac:dyDescent="0.3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 x14ac:dyDescent="0.3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 x14ac:dyDescent="0.3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 x14ac:dyDescent="0.3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 x14ac:dyDescent="0.3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 x14ac:dyDescent="0.3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 x14ac:dyDescent="0.3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 x14ac:dyDescent="0.3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 x14ac:dyDescent="0.3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 x14ac:dyDescent="0.3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 x14ac:dyDescent="0.3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 x14ac:dyDescent="0.3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 x14ac:dyDescent="0.3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 x14ac:dyDescent="0.3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 x14ac:dyDescent="0.3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 x14ac:dyDescent="0.3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 x14ac:dyDescent="0.3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 x14ac:dyDescent="0.3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 x14ac:dyDescent="0.3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 x14ac:dyDescent="0.3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 x14ac:dyDescent="0.3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 x14ac:dyDescent="0.3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 x14ac:dyDescent="0.3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 x14ac:dyDescent="0.3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 x14ac:dyDescent="0.3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 x14ac:dyDescent="0.3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 x14ac:dyDescent="0.3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 x14ac:dyDescent="0.3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 x14ac:dyDescent="0.3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 x14ac:dyDescent="0.3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 x14ac:dyDescent="0.3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 x14ac:dyDescent="0.3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 x14ac:dyDescent="0.3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 x14ac:dyDescent="0.3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 x14ac:dyDescent="0.3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 x14ac:dyDescent="0.3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 x14ac:dyDescent="0.3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 x14ac:dyDescent="0.3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 x14ac:dyDescent="0.3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 x14ac:dyDescent="0.3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 x14ac:dyDescent="0.3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 x14ac:dyDescent="0.3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 x14ac:dyDescent="0.3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 x14ac:dyDescent="0.3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 x14ac:dyDescent="0.3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 x14ac:dyDescent="0.3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 x14ac:dyDescent="0.3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 x14ac:dyDescent="0.3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 x14ac:dyDescent="0.3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 x14ac:dyDescent="0.3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 x14ac:dyDescent="0.3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 x14ac:dyDescent="0.3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 x14ac:dyDescent="0.3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 x14ac:dyDescent="0.3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 x14ac:dyDescent="0.3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 x14ac:dyDescent="0.3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 x14ac:dyDescent="0.3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 x14ac:dyDescent="0.3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 x14ac:dyDescent="0.3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 x14ac:dyDescent="0.3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 x14ac:dyDescent="0.3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 x14ac:dyDescent="0.3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 x14ac:dyDescent="0.3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 x14ac:dyDescent="0.3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 x14ac:dyDescent="0.3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 x14ac:dyDescent="0.3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 x14ac:dyDescent="0.3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 x14ac:dyDescent="0.3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 x14ac:dyDescent="0.3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 x14ac:dyDescent="0.3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 x14ac:dyDescent="0.3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 x14ac:dyDescent="0.3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 x14ac:dyDescent="0.3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 x14ac:dyDescent="0.3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 x14ac:dyDescent="0.3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 x14ac:dyDescent="0.3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 x14ac:dyDescent="0.3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 x14ac:dyDescent="0.3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 x14ac:dyDescent="0.3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 x14ac:dyDescent="0.3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 x14ac:dyDescent="0.3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 x14ac:dyDescent="0.3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 x14ac:dyDescent="0.3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 x14ac:dyDescent="0.3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 x14ac:dyDescent="0.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 x14ac:dyDescent="0.3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 x14ac:dyDescent="0.3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 x14ac:dyDescent="0.3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 x14ac:dyDescent="0.3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 x14ac:dyDescent="0.3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 x14ac:dyDescent="0.3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 x14ac:dyDescent="0.3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 x14ac:dyDescent="0.3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 x14ac:dyDescent="0.3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 x14ac:dyDescent="0.3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 x14ac:dyDescent="0.3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 x14ac:dyDescent="0.3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 x14ac:dyDescent="0.3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 x14ac:dyDescent="0.3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 x14ac:dyDescent="0.3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 x14ac:dyDescent="0.3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 x14ac:dyDescent="0.3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 x14ac:dyDescent="0.3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 x14ac:dyDescent="0.3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 x14ac:dyDescent="0.3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 x14ac:dyDescent="0.3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 x14ac:dyDescent="0.3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 x14ac:dyDescent="0.3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 x14ac:dyDescent="0.3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 x14ac:dyDescent="0.3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 x14ac:dyDescent="0.3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 x14ac:dyDescent="0.3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 x14ac:dyDescent="0.3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 x14ac:dyDescent="0.3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 x14ac:dyDescent="0.3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 x14ac:dyDescent="0.3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 x14ac:dyDescent="0.3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 x14ac:dyDescent="0.3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 x14ac:dyDescent="0.3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 x14ac:dyDescent="0.3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 x14ac:dyDescent="0.3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 x14ac:dyDescent="0.3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 x14ac:dyDescent="0.3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 x14ac:dyDescent="0.3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 x14ac:dyDescent="0.3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 x14ac:dyDescent="0.3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 x14ac:dyDescent="0.3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 x14ac:dyDescent="0.3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 x14ac:dyDescent="0.3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 x14ac:dyDescent="0.3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 x14ac:dyDescent="0.3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 x14ac:dyDescent="0.3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 x14ac:dyDescent="0.3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 x14ac:dyDescent="0.3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 x14ac:dyDescent="0.3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 x14ac:dyDescent="0.3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 x14ac:dyDescent="0.3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 x14ac:dyDescent="0.3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 x14ac:dyDescent="0.3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 x14ac:dyDescent="0.3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 x14ac:dyDescent="0.3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 x14ac:dyDescent="0.3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 x14ac:dyDescent="0.3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 x14ac:dyDescent="0.3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 x14ac:dyDescent="0.3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 x14ac:dyDescent="0.3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 x14ac:dyDescent="0.3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 x14ac:dyDescent="0.3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 x14ac:dyDescent="0.3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 x14ac:dyDescent="0.3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 x14ac:dyDescent="0.3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 x14ac:dyDescent="0.3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 x14ac:dyDescent="0.3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 x14ac:dyDescent="0.3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 x14ac:dyDescent="0.3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 x14ac:dyDescent="0.3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 x14ac:dyDescent="0.3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 x14ac:dyDescent="0.3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 x14ac:dyDescent="0.3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 x14ac:dyDescent="0.3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 x14ac:dyDescent="0.3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 x14ac:dyDescent="0.3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 x14ac:dyDescent="0.3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 x14ac:dyDescent="0.3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 x14ac:dyDescent="0.3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 x14ac:dyDescent="0.3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 x14ac:dyDescent="0.3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 x14ac:dyDescent="0.3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 x14ac:dyDescent="0.3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 x14ac:dyDescent="0.3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 x14ac:dyDescent="0.3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 x14ac:dyDescent="0.3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 x14ac:dyDescent="0.3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 x14ac:dyDescent="0.3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 x14ac:dyDescent="0.3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 x14ac:dyDescent="0.3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 x14ac:dyDescent="0.3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 x14ac:dyDescent="0.3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 x14ac:dyDescent="0.3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 x14ac:dyDescent="0.3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 x14ac:dyDescent="0.3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 x14ac:dyDescent="0.3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 x14ac:dyDescent="0.3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 x14ac:dyDescent="0.3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 x14ac:dyDescent="0.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 x14ac:dyDescent="0.3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 x14ac:dyDescent="0.3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 x14ac:dyDescent="0.3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 x14ac:dyDescent="0.3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 x14ac:dyDescent="0.3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 x14ac:dyDescent="0.3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 x14ac:dyDescent="0.3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 x14ac:dyDescent="0.3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 x14ac:dyDescent="0.3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 x14ac:dyDescent="0.3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 x14ac:dyDescent="0.3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 x14ac:dyDescent="0.3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 x14ac:dyDescent="0.3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 x14ac:dyDescent="0.3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 x14ac:dyDescent="0.3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 x14ac:dyDescent="0.3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 x14ac:dyDescent="0.3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 x14ac:dyDescent="0.3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 x14ac:dyDescent="0.3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 x14ac:dyDescent="0.3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 x14ac:dyDescent="0.3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 x14ac:dyDescent="0.3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 x14ac:dyDescent="0.3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 x14ac:dyDescent="0.3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 x14ac:dyDescent="0.3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 x14ac:dyDescent="0.3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 x14ac:dyDescent="0.3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 x14ac:dyDescent="0.3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 x14ac:dyDescent="0.3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 x14ac:dyDescent="0.3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 x14ac:dyDescent="0.3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 x14ac:dyDescent="0.3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 x14ac:dyDescent="0.3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 x14ac:dyDescent="0.3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 x14ac:dyDescent="0.3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 x14ac:dyDescent="0.3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 x14ac:dyDescent="0.3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 x14ac:dyDescent="0.3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 x14ac:dyDescent="0.3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 x14ac:dyDescent="0.3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 x14ac:dyDescent="0.3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 x14ac:dyDescent="0.3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 x14ac:dyDescent="0.3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 x14ac:dyDescent="0.3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 x14ac:dyDescent="0.3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 x14ac:dyDescent="0.3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 x14ac:dyDescent="0.3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 x14ac:dyDescent="0.3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 x14ac:dyDescent="0.3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 x14ac:dyDescent="0.3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 x14ac:dyDescent="0.3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 x14ac:dyDescent="0.3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 x14ac:dyDescent="0.3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 x14ac:dyDescent="0.3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 x14ac:dyDescent="0.3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 x14ac:dyDescent="0.3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 x14ac:dyDescent="0.3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 x14ac:dyDescent="0.3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 x14ac:dyDescent="0.3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 x14ac:dyDescent="0.3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25" customHeight="1" x14ac:dyDescent="0.3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25" customHeight="1" x14ac:dyDescent="0.3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25" customHeight="1" x14ac:dyDescent="0.3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25" customHeight="1" x14ac:dyDescent="0.3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4.25" customHeight="1" x14ac:dyDescent="0.3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1000"/>
  <sheetViews>
    <sheetView zoomScale="75" workbookViewId="0">
      <selection activeCell="D8" sqref="D8"/>
    </sheetView>
  </sheetViews>
  <sheetFormatPr defaultColWidth="14.453125" defaultRowHeight="15" customHeight="1" x14ac:dyDescent="0.35"/>
  <cols>
    <col min="1" max="1" width="36.08984375" customWidth="1"/>
    <col min="2" max="2" width="11.81640625" customWidth="1"/>
    <col min="3" max="3" width="9.08984375" customWidth="1"/>
    <col min="4" max="4" width="11.81640625" bestFit="1" customWidth="1"/>
    <col min="5" max="5" width="8.7265625" customWidth="1"/>
    <col min="6" max="6" width="14.54296875" customWidth="1"/>
    <col min="7" max="7" width="16.54296875" customWidth="1"/>
    <col min="8" max="8" width="9.453125" customWidth="1"/>
    <col min="9" max="9" width="10" customWidth="1"/>
    <col min="10" max="10" width="8.7265625" customWidth="1"/>
    <col min="11" max="11" width="12.54296875" customWidth="1"/>
    <col min="12" max="26" width="8.7265625" customWidth="1"/>
  </cols>
  <sheetData>
    <row r="1" spans="1:26" ht="14.25" customHeight="1" x14ac:dyDescent="0.35">
      <c r="A1" s="63" t="s">
        <v>0</v>
      </c>
      <c r="B1" s="64"/>
      <c r="C1" s="64"/>
      <c r="D1" s="65"/>
      <c r="E1" s="2"/>
      <c r="F1" s="66" t="s">
        <v>1</v>
      </c>
      <c r="G1" s="6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3" t="s">
        <v>2</v>
      </c>
      <c r="B2" s="3" t="s">
        <v>3</v>
      </c>
      <c r="C2" s="3" t="s">
        <v>4</v>
      </c>
      <c r="D2" s="3" t="s">
        <v>5</v>
      </c>
      <c r="E2" s="2"/>
      <c r="F2" s="4" t="s">
        <v>6</v>
      </c>
      <c r="G2" s="5">
        <f>BS!B30</f>
        <v>149125.4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1" t="s">
        <v>7</v>
      </c>
      <c r="B3" s="6">
        <f>G4/G6</f>
        <v>0.25491497703994098</v>
      </c>
      <c r="C3" s="7">
        <v>1.2</v>
      </c>
      <c r="D3" s="7">
        <f t="shared" ref="D3:D7" si="0">B3*C3</f>
        <v>0.30589797244792916</v>
      </c>
      <c r="E3" s="2"/>
      <c r="F3" s="4" t="s">
        <v>8</v>
      </c>
      <c r="G3" s="5">
        <f>BS!I28</f>
        <v>44445.1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1" t="s">
        <v>9</v>
      </c>
      <c r="B4" s="6">
        <f>G8/G6</f>
        <v>0.31002325836805689</v>
      </c>
      <c r="C4" s="7">
        <v>1.4</v>
      </c>
      <c r="D4" s="7">
        <f t="shared" si="0"/>
        <v>0.4340325617152796</v>
      </c>
      <c r="E4" s="2"/>
      <c r="F4" s="4" t="s">
        <v>10</v>
      </c>
      <c r="G4" s="5">
        <f>G2-G3</f>
        <v>104680.29999999999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1" t="s">
        <v>11</v>
      </c>
      <c r="B5" s="6">
        <f>G9/G6</f>
        <v>0.10309878608900708</v>
      </c>
      <c r="C5" s="7">
        <v>3.3</v>
      </c>
      <c r="D5" s="7">
        <f t="shared" si="0"/>
        <v>0.34022599409372334</v>
      </c>
      <c r="E5" s="2"/>
      <c r="F5" s="4" t="s">
        <v>12</v>
      </c>
      <c r="G5" s="5">
        <f>BS!I30</f>
        <v>173703.9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1" t="s">
        <v>13</v>
      </c>
      <c r="B6" s="6">
        <f>G7/G5</f>
        <v>22.463361501958218</v>
      </c>
      <c r="C6" s="7">
        <v>0.6</v>
      </c>
      <c r="D6" s="7">
        <f t="shared" si="0"/>
        <v>13.47801690117493</v>
      </c>
      <c r="E6" s="2"/>
      <c r="F6" s="4" t="s">
        <v>14</v>
      </c>
      <c r="G6" s="5">
        <f>BS!B32</f>
        <v>410647.9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1" t="s">
        <v>15</v>
      </c>
      <c r="B7" s="6">
        <f>G10/G6</f>
        <v>0.50282322154819248</v>
      </c>
      <c r="C7" s="7">
        <v>1</v>
      </c>
      <c r="D7" s="7">
        <f t="shared" si="0"/>
        <v>0.50282322154819248</v>
      </c>
      <c r="E7" s="2"/>
      <c r="F7" s="4" t="s">
        <v>16</v>
      </c>
      <c r="G7" s="5">
        <f>G11*G12</f>
        <v>3901973.5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68" t="s">
        <v>17</v>
      </c>
      <c r="B8" s="69"/>
      <c r="C8" s="70"/>
      <c r="D8" s="8">
        <f>SUM(D3:D7)</f>
        <v>15.060996650980055</v>
      </c>
      <c r="E8" s="2"/>
      <c r="F8" s="4" t="s">
        <v>18</v>
      </c>
      <c r="G8" s="5">
        <f>BS!J34</f>
        <v>127310.39999999999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2"/>
      <c r="B9" s="2"/>
      <c r="C9" s="2"/>
      <c r="D9" s="2"/>
      <c r="E9" s="2"/>
      <c r="F9" s="4" t="s">
        <v>19</v>
      </c>
      <c r="G9" s="5">
        <f>PnL!D15</f>
        <v>42337.299999999974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71" t="s">
        <v>20</v>
      </c>
      <c r="B10" s="72"/>
      <c r="C10" s="72"/>
      <c r="D10" s="73"/>
      <c r="E10" s="2"/>
      <c r="F10" s="4" t="s">
        <v>21</v>
      </c>
      <c r="G10" s="5">
        <f>PnL!D3</f>
        <v>206483.3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74"/>
      <c r="B11" s="75"/>
      <c r="C11" s="75"/>
      <c r="D11" s="76"/>
      <c r="E11" s="2"/>
      <c r="F11" s="4" t="s">
        <v>22</v>
      </c>
      <c r="G11" s="5">
        <v>1626.5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9"/>
      <c r="B12" s="9"/>
      <c r="C12" s="9"/>
      <c r="D12" s="9"/>
      <c r="E12" s="2"/>
      <c r="F12" s="10" t="s">
        <v>23</v>
      </c>
      <c r="G12" s="11">
        <v>2399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"/>
      <c r="B13" s="2"/>
      <c r="C13" s="2"/>
      <c r="D13" s="2"/>
      <c r="E13" s="2"/>
      <c r="F13" s="2"/>
      <c r="G13" s="12"/>
      <c r="H13" s="2"/>
      <c r="I13" s="2"/>
      <c r="J13" s="2"/>
      <c r="K13" s="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/>
      <c r="B14" s="2"/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/>
      <c r="B15" s="2"/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/>
      <c r="B16" s="2"/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/>
      <c r="B17" s="2"/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/>
      <c r="B18" s="2"/>
      <c r="C18" s="2"/>
      <c r="D18" s="2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"/>
      <c r="B19" s="2"/>
      <c r="C19" s="2"/>
      <c r="D19" s="2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"/>
      <c r="B20" s="2"/>
      <c r="C20" s="2"/>
      <c r="D20" s="2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/>
      <c r="B21" s="2"/>
      <c r="C21" s="2"/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/>
      <c r="B22" s="2"/>
      <c r="C22" s="2"/>
      <c r="D22" s="2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/>
      <c r="B23" s="2"/>
      <c r="C23" s="2"/>
      <c r="D23" s="2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2"/>
      <c r="B24" s="2"/>
      <c r="C24" s="2"/>
      <c r="D24" s="2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2"/>
      <c r="B25" s="2"/>
      <c r="C25" s="2"/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2"/>
      <c r="B26" s="2"/>
      <c r="C26" s="2"/>
      <c r="D26" s="2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2"/>
      <c r="B27" s="2"/>
      <c r="C27" s="2"/>
      <c r="D27" s="2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/>
      <c r="B28" s="2"/>
      <c r="C28" s="2"/>
      <c r="D28" s="2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/>
      <c r="B29" s="2"/>
      <c r="C29" s="2"/>
      <c r="D29" s="2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/>
      <c r="B30" s="2"/>
      <c r="C30" s="2"/>
      <c r="D30" s="2"/>
      <c r="E30" s="2"/>
      <c r="F30" s="2"/>
      <c r="G30" s="1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/>
      <c r="B31" s="2"/>
      <c r="C31" s="2"/>
      <c r="D31" s="2"/>
      <c r="E31" s="2"/>
      <c r="F31" s="2"/>
      <c r="G31" s="1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2"/>
      <c r="E32" s="2"/>
      <c r="F32" s="2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/>
      <c r="B33" s="2"/>
      <c r="C33" s="2"/>
      <c r="D33" s="2"/>
      <c r="E33" s="2"/>
      <c r="F33" s="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/>
      <c r="B34" s="2"/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/>
      <c r="B35" s="2"/>
      <c r="C35" s="2"/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/>
      <c r="B36" s="2"/>
      <c r="C36" s="2"/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/>
      <c r="B37" s="2"/>
      <c r="C37" s="2"/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/>
      <c r="B38" s="2"/>
      <c r="C38" s="2"/>
      <c r="D38" s="2"/>
      <c r="E38" s="2"/>
      <c r="F38" s="2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1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1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1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1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1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1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1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1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1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1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1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1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1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1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1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1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1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1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1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1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1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1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1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1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1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1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1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1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1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1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1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1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1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1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1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1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1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1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1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1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1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1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1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1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1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1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1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1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1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1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1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1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1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1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1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1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1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1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1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1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1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1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1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1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1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1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1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1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1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1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1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1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1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1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1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1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1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1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1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1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1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1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1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1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1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1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1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1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1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1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1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1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1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1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1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1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1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1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1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1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1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1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1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1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1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1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1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1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1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1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1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1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1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1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1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1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1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1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1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1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1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1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1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1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1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1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1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1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1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1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1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1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1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1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1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1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1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1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1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1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1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1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1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1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1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1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1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1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1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1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1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1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1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1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1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1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1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1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1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1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1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1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1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1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1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1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1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1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1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1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1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1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1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1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1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1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1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1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1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1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1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1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1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1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1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1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1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1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1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1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1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1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1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1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1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1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1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1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1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1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1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1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1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1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1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1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1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1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1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1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1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1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1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1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1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1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1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1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1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1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1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1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1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1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1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1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1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1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1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1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1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1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1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1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1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1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1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1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1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1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1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1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1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1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1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1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1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1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1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1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1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1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1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1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1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1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1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1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1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1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1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1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1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1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1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1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1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1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1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1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1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1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1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1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1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1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1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1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1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1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1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1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1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1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1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1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1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1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1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1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1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1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1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1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1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1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1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1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1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1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1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1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1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1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1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1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1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1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1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1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1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1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1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1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1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1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1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1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1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1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1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1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1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1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1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1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1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1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1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1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1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1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1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1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1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1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1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1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1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1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1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1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1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1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1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1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1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1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1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1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1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1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1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1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1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1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1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1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1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1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1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1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1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1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1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1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1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1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1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1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1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1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1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1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1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1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1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1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1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1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1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1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1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1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1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1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1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1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1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1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1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1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1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1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1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1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1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1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1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1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1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1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1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1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1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1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1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1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1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1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1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1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1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1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1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1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1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1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1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1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1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1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1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1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1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1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1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1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1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1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1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1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1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1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1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1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1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1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1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1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1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1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1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1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1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1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1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1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1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1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1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1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1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1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1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1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1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1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1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1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1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1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1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1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1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1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1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1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1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1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1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1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1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1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1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1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1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1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1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1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1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1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1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1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1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1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1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1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1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1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1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1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1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1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1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1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1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1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1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1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1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1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1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1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1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1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1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1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1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1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1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1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1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1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1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1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1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1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1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1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1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1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1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1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1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1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1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1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1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1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1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1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1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1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1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1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1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1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1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1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1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1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1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1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1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1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1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1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1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1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1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1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1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1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1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1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1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1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1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1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1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1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1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1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1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1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1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1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1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1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1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1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1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1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1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1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1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1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1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1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1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1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1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1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1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1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1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1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1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1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1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1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1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1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1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1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1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1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1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1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1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1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1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1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1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1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1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1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1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1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1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1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1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1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1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1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1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1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1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1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1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1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1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1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1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1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1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1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1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1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1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1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1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1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1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1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1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1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1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1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1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1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1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1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1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1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1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1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1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1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1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1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1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1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1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1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1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1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1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1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1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1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1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1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1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1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1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1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1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1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1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1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1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1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1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1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1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1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1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1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1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1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1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1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1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1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1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1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1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1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1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1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1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1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1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1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1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1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1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1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1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1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1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1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1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1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1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1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1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1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1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1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1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1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1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1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1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1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1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1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1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1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1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1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1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1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1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1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1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1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1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1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1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1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1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1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1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1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1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1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1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1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1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1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1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1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1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1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1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1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1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1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1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1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1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1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1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1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1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1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1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1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1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1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1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1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1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1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1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1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1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1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1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1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1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1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1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1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1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1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1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1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1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1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1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1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1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1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1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1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1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1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1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1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1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1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1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1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1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1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1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1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1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1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1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1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1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1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1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1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1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1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1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1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1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1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1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1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1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1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1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1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1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1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1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1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1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1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1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1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1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1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1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1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1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1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1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1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1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1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1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1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1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1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1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1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1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1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1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1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1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1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1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1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1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1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1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1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1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1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1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1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1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1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1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1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1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1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1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1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1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1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1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1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1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1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1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1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1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1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1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1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1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1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1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1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1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1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1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1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1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1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1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1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1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1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1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1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1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1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1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1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1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1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1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1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1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1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1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1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1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1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1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1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1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1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1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1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1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1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1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1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1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1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1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1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1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1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1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1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1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1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1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1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1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1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5">
      <c r="A994" s="2"/>
      <c r="B994" s="2"/>
      <c r="C994" s="2"/>
      <c r="D994" s="2"/>
      <c r="E994" s="2"/>
      <c r="F994" s="2"/>
      <c r="G994" s="1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5">
      <c r="A995" s="2"/>
      <c r="B995" s="2"/>
      <c r="C995" s="2"/>
      <c r="D995" s="2"/>
      <c r="E995" s="2"/>
      <c r="F995" s="2"/>
      <c r="G995" s="1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5">
      <c r="A996" s="2"/>
      <c r="B996" s="2"/>
      <c r="C996" s="2"/>
      <c r="D996" s="2"/>
      <c r="E996" s="2"/>
      <c r="F996" s="2"/>
      <c r="G996" s="1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5">
      <c r="A997" s="2"/>
      <c r="B997" s="2"/>
      <c r="C997" s="2"/>
      <c r="D997" s="2"/>
      <c r="E997" s="2"/>
      <c r="F997" s="2"/>
      <c r="G997" s="1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5">
      <c r="A998" s="2"/>
      <c r="B998" s="2"/>
      <c r="C998" s="2"/>
      <c r="D998" s="2"/>
      <c r="E998" s="2"/>
      <c r="F998" s="2"/>
      <c r="G998" s="1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5">
      <c r="A999" s="2"/>
      <c r="B999" s="2"/>
      <c r="C999" s="2"/>
      <c r="D999" s="2"/>
      <c r="E999" s="2"/>
      <c r="F999" s="2"/>
      <c r="G999" s="1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5">
      <c r="A1000" s="2"/>
      <c r="B1000" s="2"/>
      <c r="C1000" s="2"/>
      <c r="D1000" s="2"/>
      <c r="E1000" s="2"/>
      <c r="F1000" s="2"/>
      <c r="G1000" s="1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D1"/>
    <mergeCell ref="F1:G1"/>
    <mergeCell ref="A8:C8"/>
    <mergeCell ref="A10:D1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1000"/>
  <sheetViews>
    <sheetView workbookViewId="0"/>
  </sheetViews>
  <sheetFormatPr defaultColWidth="14.453125" defaultRowHeight="15" customHeight="1" x14ac:dyDescent="0.35"/>
  <cols>
    <col min="1" max="1" width="86.08984375" customWidth="1"/>
    <col min="2" max="3" width="9.7265625" customWidth="1"/>
    <col min="4" max="26" width="8.7265625" customWidth="1"/>
  </cols>
  <sheetData>
    <row r="1" spans="1:3" ht="14.25" customHeight="1" x14ac:dyDescent="0.35">
      <c r="A1" s="24" t="s">
        <v>52</v>
      </c>
      <c r="B1" s="25">
        <v>2024</v>
      </c>
      <c r="C1" s="26">
        <v>2023</v>
      </c>
    </row>
    <row r="2" spans="1:3" ht="14.25" customHeight="1" x14ac:dyDescent="0.35">
      <c r="A2" s="4" t="s">
        <v>53</v>
      </c>
      <c r="B2" s="27">
        <v>202751.7</v>
      </c>
      <c r="C2" s="5">
        <v>208121.4</v>
      </c>
    </row>
    <row r="3" spans="1:3" ht="14.25" customHeight="1" x14ac:dyDescent="0.35">
      <c r="A3" s="4" t="s">
        <v>54</v>
      </c>
      <c r="B3" s="27">
        <v>4657.6000000000004</v>
      </c>
      <c r="C3" s="5">
        <v>2790.3</v>
      </c>
    </row>
    <row r="4" spans="1:3" ht="14.25" customHeight="1" x14ac:dyDescent="0.35">
      <c r="A4" s="4" t="s">
        <v>55</v>
      </c>
      <c r="B4" s="27">
        <v>207409.3</v>
      </c>
      <c r="C4" s="5">
        <v>210911.7</v>
      </c>
    </row>
    <row r="5" spans="1:3" ht="14.25" customHeight="1" x14ac:dyDescent="0.35">
      <c r="A5" s="4" t="s">
        <v>56</v>
      </c>
      <c r="B5" s="27"/>
      <c r="C5" s="5"/>
    </row>
    <row r="6" spans="1:3" ht="14.25" customHeight="1" x14ac:dyDescent="0.35">
      <c r="A6" s="4" t="s">
        <v>57</v>
      </c>
      <c r="B6" s="27">
        <v>44293.8</v>
      </c>
      <c r="C6" s="5">
        <v>51656.3</v>
      </c>
    </row>
    <row r="7" spans="1:3" ht="14.25" customHeight="1" x14ac:dyDescent="0.35">
      <c r="A7" s="4" t="s">
        <v>58</v>
      </c>
      <c r="B7" s="27">
        <v>9944.1</v>
      </c>
      <c r="C7" s="5">
        <v>11264.6</v>
      </c>
    </row>
    <row r="8" spans="1:3" ht="14.25" customHeight="1" x14ac:dyDescent="0.35">
      <c r="A8" s="4" t="s">
        <v>59</v>
      </c>
      <c r="B8" s="27">
        <v>1803.2</v>
      </c>
      <c r="C8" s="5">
        <v>-2379.3000000000002</v>
      </c>
    </row>
    <row r="9" spans="1:3" ht="14.25" customHeight="1" x14ac:dyDescent="0.35">
      <c r="A9" s="4" t="s">
        <v>60</v>
      </c>
      <c r="B9" s="27">
        <v>23739.5</v>
      </c>
      <c r="C9" s="5">
        <v>21569.5</v>
      </c>
    </row>
    <row r="10" spans="1:3" ht="14.25" customHeight="1" x14ac:dyDescent="0.35">
      <c r="A10" s="4" t="s">
        <v>61</v>
      </c>
      <c r="B10" s="27">
        <v>7840.8</v>
      </c>
      <c r="C10" s="5">
        <v>4721.8</v>
      </c>
    </row>
    <row r="11" spans="1:3" ht="14.25" customHeight="1" x14ac:dyDescent="0.35">
      <c r="A11" s="4" t="s">
        <v>62</v>
      </c>
      <c r="B11" s="27">
        <v>16006.2</v>
      </c>
      <c r="C11" s="5">
        <v>16008.7</v>
      </c>
    </row>
    <row r="12" spans="1:3" ht="14.25" customHeight="1" x14ac:dyDescent="0.35">
      <c r="A12" s="4" t="s">
        <v>63</v>
      </c>
      <c r="B12" s="27">
        <v>67972.2</v>
      </c>
      <c r="C12" s="5">
        <v>61784.3</v>
      </c>
    </row>
    <row r="13" spans="1:3" ht="14.25" customHeight="1" x14ac:dyDescent="0.35">
      <c r="A13" s="4" t="s">
        <v>64</v>
      </c>
      <c r="B13" s="27">
        <v>-877.2</v>
      </c>
      <c r="C13" s="5">
        <v>-502.6</v>
      </c>
    </row>
    <row r="14" spans="1:3" ht="14.25" customHeight="1" x14ac:dyDescent="0.35">
      <c r="A14" s="28" t="s">
        <v>65</v>
      </c>
      <c r="B14" s="27">
        <v>170722.6</v>
      </c>
      <c r="C14" s="5">
        <v>164123.29999999999</v>
      </c>
    </row>
    <row r="15" spans="1:3" ht="14.25" customHeight="1" x14ac:dyDescent="0.35">
      <c r="A15" s="4" t="s">
        <v>66</v>
      </c>
      <c r="B15" s="27">
        <v>36686.699999999997</v>
      </c>
      <c r="C15" s="5">
        <v>46788.4</v>
      </c>
    </row>
    <row r="16" spans="1:3" ht="14.25" customHeight="1" x14ac:dyDescent="0.35">
      <c r="A16" s="4" t="s">
        <v>67</v>
      </c>
      <c r="B16" s="27">
        <v>2190.1999999999998</v>
      </c>
      <c r="C16" s="5">
        <v>29377.9</v>
      </c>
    </row>
    <row r="17" spans="1:3" ht="14.25" customHeight="1" x14ac:dyDescent="0.35">
      <c r="A17" s="4" t="s">
        <v>68</v>
      </c>
      <c r="B17" s="27">
        <v>34496.5</v>
      </c>
      <c r="C17" s="5">
        <v>17410.5</v>
      </c>
    </row>
    <row r="18" spans="1:3" ht="14.25" customHeight="1" x14ac:dyDescent="0.35">
      <c r="A18" s="4" t="s">
        <v>69</v>
      </c>
      <c r="B18" s="27"/>
      <c r="C18" s="5"/>
    </row>
    <row r="19" spans="1:3" ht="14.25" customHeight="1" x14ac:dyDescent="0.35">
      <c r="A19" s="4" t="s">
        <v>70</v>
      </c>
      <c r="B19" s="27">
        <v>5461</v>
      </c>
      <c r="C19" s="5">
        <v>7527.7</v>
      </c>
    </row>
    <row r="20" spans="1:3" ht="14.25" customHeight="1" x14ac:dyDescent="0.35">
      <c r="A20" s="4" t="s">
        <v>71</v>
      </c>
      <c r="B20" s="27">
        <v>453.7</v>
      </c>
      <c r="C20" s="5">
        <v>-7024.4</v>
      </c>
    </row>
    <row r="21" spans="1:3" ht="14.25" customHeight="1" x14ac:dyDescent="0.35">
      <c r="A21" s="28" t="s">
        <v>72</v>
      </c>
      <c r="B21" s="27">
        <v>5914.7</v>
      </c>
      <c r="C21" s="5">
        <v>503.3</v>
      </c>
    </row>
    <row r="22" spans="1:3" ht="14.25" customHeight="1" x14ac:dyDescent="0.35">
      <c r="A22" s="4" t="s">
        <v>73</v>
      </c>
      <c r="B22" s="27">
        <v>28581.8</v>
      </c>
      <c r="C22" s="5">
        <v>16907.2</v>
      </c>
    </row>
    <row r="23" spans="1:3" ht="14.25" customHeight="1" x14ac:dyDescent="0.35">
      <c r="A23" s="4" t="s">
        <v>74</v>
      </c>
      <c r="B23" s="27"/>
      <c r="C23" s="5"/>
    </row>
    <row r="24" spans="1:3" ht="14.25" customHeight="1" x14ac:dyDescent="0.35">
      <c r="A24" s="4" t="s">
        <v>75</v>
      </c>
      <c r="B24" s="27"/>
      <c r="C24" s="5"/>
    </row>
    <row r="25" spans="1:3" ht="14.25" customHeight="1" x14ac:dyDescent="0.35">
      <c r="A25" s="4" t="s">
        <v>76</v>
      </c>
      <c r="B25" s="27">
        <v>-305.10000000000002</v>
      </c>
      <c r="C25" s="5">
        <v>113.4</v>
      </c>
    </row>
    <row r="26" spans="1:3" ht="14.25" customHeight="1" x14ac:dyDescent="0.35">
      <c r="A26" s="4" t="s">
        <v>77</v>
      </c>
      <c r="B26" s="27">
        <v>106.5</v>
      </c>
      <c r="C26" s="5">
        <v>-39.6</v>
      </c>
    </row>
    <row r="27" spans="1:3" ht="14.25" customHeight="1" x14ac:dyDescent="0.35">
      <c r="A27" s="4" t="s">
        <v>78</v>
      </c>
      <c r="B27" s="27">
        <v>4.8</v>
      </c>
      <c r="C27" s="5">
        <v>-90.2</v>
      </c>
    </row>
    <row r="28" spans="1:3" ht="14.25" customHeight="1" x14ac:dyDescent="0.35">
      <c r="A28" s="4" t="s">
        <v>77</v>
      </c>
      <c r="B28" s="27">
        <v>-1.7</v>
      </c>
      <c r="C28" s="5">
        <v>31.5</v>
      </c>
    </row>
    <row r="29" spans="1:3" ht="14.25" customHeight="1" x14ac:dyDescent="0.35">
      <c r="A29" s="28" t="s">
        <v>79</v>
      </c>
      <c r="B29" s="27">
        <v>-195.5</v>
      </c>
      <c r="C29" s="5">
        <v>15.1</v>
      </c>
    </row>
    <row r="30" spans="1:3" ht="14.25" customHeight="1" x14ac:dyDescent="0.35">
      <c r="A30" s="4" t="s">
        <v>80</v>
      </c>
      <c r="B30" s="27"/>
      <c r="C30" s="5"/>
    </row>
    <row r="31" spans="1:3" ht="14.25" customHeight="1" x14ac:dyDescent="0.35">
      <c r="A31" s="4" t="s">
        <v>81</v>
      </c>
      <c r="B31" s="27">
        <v>85.5</v>
      </c>
      <c r="C31" s="5">
        <v>-192.4</v>
      </c>
    </row>
    <row r="32" spans="1:3" ht="14.25" customHeight="1" x14ac:dyDescent="0.35">
      <c r="A32" s="4" t="s">
        <v>77</v>
      </c>
      <c r="B32" s="27">
        <v>-29.8</v>
      </c>
      <c r="C32" s="5">
        <v>67.2</v>
      </c>
    </row>
    <row r="33" spans="1:3" ht="14.25" customHeight="1" x14ac:dyDescent="0.35">
      <c r="A33" s="28" t="s">
        <v>82</v>
      </c>
      <c r="B33" s="27">
        <v>55.7</v>
      </c>
      <c r="C33" s="5">
        <v>-125.2</v>
      </c>
    </row>
    <row r="34" spans="1:3" ht="14.25" customHeight="1" x14ac:dyDescent="0.35">
      <c r="A34" s="4" t="s">
        <v>83</v>
      </c>
      <c r="B34" s="27">
        <v>-139.80000000000001</v>
      </c>
      <c r="C34" s="5">
        <v>-110.1</v>
      </c>
    </row>
    <row r="35" spans="1:3" ht="14.25" customHeight="1" x14ac:dyDescent="0.35">
      <c r="A35" s="4" t="s">
        <v>84</v>
      </c>
      <c r="B35" s="27">
        <v>28442</v>
      </c>
      <c r="C35" s="5">
        <v>16797.099999999999</v>
      </c>
    </row>
    <row r="36" spans="1:3" ht="14.25" customHeight="1" x14ac:dyDescent="0.35">
      <c r="A36" s="4" t="s">
        <v>85</v>
      </c>
      <c r="B36" s="27"/>
      <c r="C36" s="5"/>
    </row>
    <row r="37" spans="1:3" ht="14.25" customHeight="1" x14ac:dyDescent="0.35">
      <c r="A37" s="4" t="s">
        <v>86</v>
      </c>
      <c r="B37" s="27">
        <v>11.9</v>
      </c>
      <c r="C37" s="5">
        <v>7</v>
      </c>
    </row>
    <row r="38" spans="1:3" ht="14.25" customHeight="1" x14ac:dyDescent="0.35">
      <c r="A38" s="10" t="s">
        <v>87</v>
      </c>
      <c r="B38" s="29">
        <v>11.9</v>
      </c>
      <c r="C38" s="11">
        <v>7</v>
      </c>
    </row>
    <row r="39" spans="1:3" ht="14.25" customHeight="1" x14ac:dyDescent="0.35">
      <c r="B39" s="30"/>
      <c r="C39" s="30"/>
    </row>
    <row r="40" spans="1:3" ht="14.25" customHeight="1" x14ac:dyDescent="0.35">
      <c r="B40" s="30"/>
      <c r="C40" s="30"/>
    </row>
    <row r="41" spans="1:3" ht="14.25" customHeight="1" x14ac:dyDescent="0.35">
      <c r="B41" s="30"/>
      <c r="C41" s="30"/>
    </row>
    <row r="42" spans="1:3" ht="14.25" customHeight="1" x14ac:dyDescent="0.35">
      <c r="B42" s="30"/>
      <c r="C42" s="30"/>
    </row>
    <row r="43" spans="1:3" ht="14.25" customHeight="1" x14ac:dyDescent="0.35">
      <c r="B43" s="30"/>
      <c r="C43" s="30"/>
    </row>
    <row r="44" spans="1:3" ht="14.25" customHeight="1" x14ac:dyDescent="0.35">
      <c r="B44" s="30"/>
      <c r="C44" s="30"/>
    </row>
    <row r="45" spans="1:3" ht="14.25" customHeight="1" x14ac:dyDescent="0.35">
      <c r="B45" s="30"/>
      <c r="C45" s="30"/>
    </row>
    <row r="46" spans="1:3" ht="14.25" customHeight="1" x14ac:dyDescent="0.35">
      <c r="B46" s="30"/>
      <c r="C46" s="30"/>
    </row>
    <row r="47" spans="1:3" ht="14.25" customHeight="1" x14ac:dyDescent="0.35">
      <c r="B47" s="30"/>
      <c r="C47" s="30"/>
    </row>
    <row r="48" spans="1:3" ht="14.25" customHeight="1" x14ac:dyDescent="0.35">
      <c r="B48" s="30"/>
      <c r="C48" s="30"/>
    </row>
    <row r="49" spans="2:3" ht="14.25" customHeight="1" x14ac:dyDescent="0.35">
      <c r="B49" s="30"/>
      <c r="C49" s="30"/>
    </row>
    <row r="50" spans="2:3" ht="14.25" customHeight="1" x14ac:dyDescent="0.35">
      <c r="B50" s="30"/>
      <c r="C50" s="30"/>
    </row>
    <row r="51" spans="2:3" ht="14.25" customHeight="1" x14ac:dyDescent="0.35">
      <c r="B51" s="30"/>
      <c r="C51" s="30"/>
    </row>
    <row r="52" spans="2:3" ht="14.25" customHeight="1" x14ac:dyDescent="0.35">
      <c r="B52" s="30"/>
      <c r="C52" s="30"/>
    </row>
    <row r="53" spans="2:3" ht="14.25" customHeight="1" x14ac:dyDescent="0.35">
      <c r="B53" s="30"/>
      <c r="C53" s="30"/>
    </row>
    <row r="54" spans="2:3" ht="14.25" customHeight="1" x14ac:dyDescent="0.35">
      <c r="B54" s="30"/>
      <c r="C54" s="30"/>
    </row>
    <row r="55" spans="2:3" ht="14.25" customHeight="1" x14ac:dyDescent="0.35">
      <c r="B55" s="30"/>
      <c r="C55" s="30"/>
    </row>
    <row r="56" spans="2:3" ht="14.25" customHeight="1" x14ac:dyDescent="0.35">
      <c r="B56" s="30"/>
      <c r="C56" s="30"/>
    </row>
    <row r="57" spans="2:3" ht="14.25" customHeight="1" x14ac:dyDescent="0.35">
      <c r="B57" s="30"/>
      <c r="C57" s="30"/>
    </row>
    <row r="58" spans="2:3" ht="14.25" customHeight="1" x14ac:dyDescent="0.35">
      <c r="B58" s="30"/>
      <c r="C58" s="30"/>
    </row>
    <row r="59" spans="2:3" ht="14.25" customHeight="1" x14ac:dyDescent="0.35">
      <c r="B59" s="30"/>
      <c r="C59" s="30"/>
    </row>
    <row r="60" spans="2:3" ht="14.25" customHeight="1" x14ac:dyDescent="0.35">
      <c r="B60" s="30"/>
      <c r="C60" s="30"/>
    </row>
    <row r="61" spans="2:3" ht="14.25" customHeight="1" x14ac:dyDescent="0.35">
      <c r="B61" s="30"/>
      <c r="C61" s="30"/>
    </row>
    <row r="62" spans="2:3" ht="14.25" customHeight="1" x14ac:dyDescent="0.35">
      <c r="B62" s="30"/>
      <c r="C62" s="30"/>
    </row>
    <row r="63" spans="2:3" ht="14.25" customHeight="1" x14ac:dyDescent="0.35">
      <c r="B63" s="30"/>
      <c r="C63" s="30"/>
    </row>
    <row r="64" spans="2:3" ht="14.25" customHeight="1" x14ac:dyDescent="0.35">
      <c r="B64" s="30"/>
      <c r="C64" s="30"/>
    </row>
    <row r="65" spans="2:3" ht="14.25" customHeight="1" x14ac:dyDescent="0.35">
      <c r="B65" s="30"/>
      <c r="C65" s="30"/>
    </row>
    <row r="66" spans="2:3" ht="14.25" customHeight="1" x14ac:dyDescent="0.35">
      <c r="B66" s="30"/>
      <c r="C66" s="30"/>
    </row>
    <row r="67" spans="2:3" ht="14.25" customHeight="1" x14ac:dyDescent="0.35">
      <c r="B67" s="30"/>
      <c r="C67" s="30"/>
    </row>
    <row r="68" spans="2:3" ht="14.25" customHeight="1" x14ac:dyDescent="0.35">
      <c r="B68" s="30"/>
      <c r="C68" s="30"/>
    </row>
    <row r="69" spans="2:3" ht="14.25" customHeight="1" x14ac:dyDescent="0.35">
      <c r="B69" s="30"/>
      <c r="C69" s="30"/>
    </row>
    <row r="70" spans="2:3" ht="14.25" customHeight="1" x14ac:dyDescent="0.35">
      <c r="B70" s="30"/>
      <c r="C70" s="30"/>
    </row>
    <row r="71" spans="2:3" ht="14.25" customHeight="1" x14ac:dyDescent="0.35">
      <c r="B71" s="30"/>
      <c r="C71" s="30"/>
    </row>
    <row r="72" spans="2:3" ht="14.25" customHeight="1" x14ac:dyDescent="0.35">
      <c r="B72" s="30"/>
      <c r="C72" s="30"/>
    </row>
    <row r="73" spans="2:3" ht="14.25" customHeight="1" x14ac:dyDescent="0.35">
      <c r="B73" s="30"/>
      <c r="C73" s="30"/>
    </row>
    <row r="74" spans="2:3" ht="14.25" customHeight="1" x14ac:dyDescent="0.35">
      <c r="B74" s="30"/>
      <c r="C74" s="30"/>
    </row>
    <row r="75" spans="2:3" ht="14.25" customHeight="1" x14ac:dyDescent="0.35">
      <c r="B75" s="30"/>
      <c r="C75" s="30"/>
    </row>
    <row r="76" spans="2:3" ht="14.25" customHeight="1" x14ac:dyDescent="0.35">
      <c r="B76" s="30"/>
      <c r="C76" s="30"/>
    </row>
    <row r="77" spans="2:3" ht="14.25" customHeight="1" x14ac:dyDescent="0.35">
      <c r="B77" s="30"/>
      <c r="C77" s="30"/>
    </row>
    <row r="78" spans="2:3" ht="14.25" customHeight="1" x14ac:dyDescent="0.35">
      <c r="B78" s="30"/>
      <c r="C78" s="30"/>
    </row>
    <row r="79" spans="2:3" ht="14.25" customHeight="1" x14ac:dyDescent="0.35">
      <c r="B79" s="30"/>
      <c r="C79" s="30"/>
    </row>
    <row r="80" spans="2:3" ht="14.25" customHeight="1" x14ac:dyDescent="0.35">
      <c r="B80" s="30"/>
      <c r="C80" s="30"/>
    </row>
    <row r="81" spans="2:3" ht="14.25" customHeight="1" x14ac:dyDescent="0.35">
      <c r="B81" s="30"/>
      <c r="C81" s="30"/>
    </row>
    <row r="82" spans="2:3" ht="14.25" customHeight="1" x14ac:dyDescent="0.35">
      <c r="B82" s="30"/>
      <c r="C82" s="30"/>
    </row>
    <row r="83" spans="2:3" ht="14.25" customHeight="1" x14ac:dyDescent="0.35">
      <c r="B83" s="30"/>
      <c r="C83" s="30"/>
    </row>
    <row r="84" spans="2:3" ht="14.25" customHeight="1" x14ac:dyDescent="0.35">
      <c r="B84" s="30"/>
      <c r="C84" s="30"/>
    </row>
    <row r="85" spans="2:3" ht="14.25" customHeight="1" x14ac:dyDescent="0.35">
      <c r="B85" s="30"/>
      <c r="C85" s="30"/>
    </row>
    <row r="86" spans="2:3" ht="14.25" customHeight="1" x14ac:dyDescent="0.35">
      <c r="B86" s="30"/>
      <c r="C86" s="30"/>
    </row>
    <row r="87" spans="2:3" ht="14.25" customHeight="1" x14ac:dyDescent="0.35">
      <c r="B87" s="30"/>
      <c r="C87" s="30"/>
    </row>
    <row r="88" spans="2:3" ht="14.25" customHeight="1" x14ac:dyDescent="0.35">
      <c r="B88" s="30"/>
      <c r="C88" s="30"/>
    </row>
    <row r="89" spans="2:3" ht="14.25" customHeight="1" x14ac:dyDescent="0.35">
      <c r="B89" s="30"/>
      <c r="C89" s="30"/>
    </row>
    <row r="90" spans="2:3" ht="14.25" customHeight="1" x14ac:dyDescent="0.35">
      <c r="B90" s="30"/>
      <c r="C90" s="30"/>
    </row>
    <row r="91" spans="2:3" ht="14.25" customHeight="1" x14ac:dyDescent="0.35">
      <c r="B91" s="30"/>
      <c r="C91" s="30"/>
    </row>
    <row r="92" spans="2:3" ht="14.25" customHeight="1" x14ac:dyDescent="0.35">
      <c r="B92" s="30"/>
      <c r="C92" s="30"/>
    </row>
    <row r="93" spans="2:3" ht="14.25" customHeight="1" x14ac:dyDescent="0.35">
      <c r="B93" s="30"/>
      <c r="C93" s="30"/>
    </row>
    <row r="94" spans="2:3" ht="14.25" customHeight="1" x14ac:dyDescent="0.35">
      <c r="B94" s="30"/>
      <c r="C94" s="30"/>
    </row>
    <row r="95" spans="2:3" ht="14.25" customHeight="1" x14ac:dyDescent="0.35">
      <c r="B95" s="30"/>
      <c r="C95" s="30"/>
    </row>
    <row r="96" spans="2:3" ht="14.25" customHeight="1" x14ac:dyDescent="0.35">
      <c r="B96" s="30"/>
      <c r="C96" s="30"/>
    </row>
    <row r="97" spans="2:3" ht="14.25" customHeight="1" x14ac:dyDescent="0.35">
      <c r="B97" s="30"/>
      <c r="C97" s="30"/>
    </row>
    <row r="98" spans="2:3" ht="14.25" customHeight="1" x14ac:dyDescent="0.35">
      <c r="B98" s="30"/>
      <c r="C98" s="30"/>
    </row>
    <row r="99" spans="2:3" ht="14.25" customHeight="1" x14ac:dyDescent="0.35">
      <c r="B99" s="30"/>
      <c r="C99" s="30"/>
    </row>
    <row r="100" spans="2:3" ht="14.25" customHeight="1" x14ac:dyDescent="0.35">
      <c r="B100" s="30"/>
      <c r="C100" s="30"/>
    </row>
    <row r="101" spans="2:3" ht="14.25" customHeight="1" x14ac:dyDescent="0.35">
      <c r="B101" s="30"/>
      <c r="C101" s="30"/>
    </row>
    <row r="102" spans="2:3" ht="14.25" customHeight="1" x14ac:dyDescent="0.35">
      <c r="B102" s="30"/>
      <c r="C102" s="30"/>
    </row>
    <row r="103" spans="2:3" ht="14.25" customHeight="1" x14ac:dyDescent="0.35">
      <c r="B103" s="30"/>
      <c r="C103" s="30"/>
    </row>
    <row r="104" spans="2:3" ht="14.25" customHeight="1" x14ac:dyDescent="0.35">
      <c r="B104" s="30"/>
      <c r="C104" s="30"/>
    </row>
    <row r="105" spans="2:3" ht="14.25" customHeight="1" x14ac:dyDescent="0.35">
      <c r="B105" s="30"/>
      <c r="C105" s="30"/>
    </row>
    <row r="106" spans="2:3" ht="14.25" customHeight="1" x14ac:dyDescent="0.35">
      <c r="B106" s="30"/>
      <c r="C106" s="30"/>
    </row>
    <row r="107" spans="2:3" ht="14.25" customHeight="1" x14ac:dyDescent="0.35">
      <c r="B107" s="30"/>
      <c r="C107" s="30"/>
    </row>
    <row r="108" spans="2:3" ht="14.25" customHeight="1" x14ac:dyDescent="0.35">
      <c r="B108" s="30"/>
      <c r="C108" s="30"/>
    </row>
    <row r="109" spans="2:3" ht="14.25" customHeight="1" x14ac:dyDescent="0.35">
      <c r="B109" s="30"/>
      <c r="C109" s="30"/>
    </row>
    <row r="110" spans="2:3" ht="14.25" customHeight="1" x14ac:dyDescent="0.35">
      <c r="B110" s="30"/>
      <c r="C110" s="30"/>
    </row>
    <row r="111" spans="2:3" ht="14.25" customHeight="1" x14ac:dyDescent="0.35">
      <c r="B111" s="30"/>
      <c r="C111" s="30"/>
    </row>
    <row r="112" spans="2:3" ht="14.25" customHeight="1" x14ac:dyDescent="0.35">
      <c r="B112" s="30"/>
      <c r="C112" s="30"/>
    </row>
    <row r="113" spans="2:3" ht="14.25" customHeight="1" x14ac:dyDescent="0.35">
      <c r="B113" s="30"/>
      <c r="C113" s="30"/>
    </row>
    <row r="114" spans="2:3" ht="14.25" customHeight="1" x14ac:dyDescent="0.35">
      <c r="B114" s="30"/>
      <c r="C114" s="30"/>
    </row>
    <row r="115" spans="2:3" ht="14.25" customHeight="1" x14ac:dyDescent="0.35">
      <c r="B115" s="30"/>
      <c r="C115" s="30"/>
    </row>
    <row r="116" spans="2:3" ht="14.25" customHeight="1" x14ac:dyDescent="0.35">
      <c r="B116" s="30"/>
      <c r="C116" s="30"/>
    </row>
    <row r="117" spans="2:3" ht="14.25" customHeight="1" x14ac:dyDescent="0.35">
      <c r="B117" s="30"/>
      <c r="C117" s="30"/>
    </row>
    <row r="118" spans="2:3" ht="14.25" customHeight="1" x14ac:dyDescent="0.35">
      <c r="B118" s="30"/>
      <c r="C118" s="30"/>
    </row>
    <row r="119" spans="2:3" ht="14.25" customHeight="1" x14ac:dyDescent="0.35">
      <c r="B119" s="30"/>
      <c r="C119" s="30"/>
    </row>
    <row r="120" spans="2:3" ht="14.25" customHeight="1" x14ac:dyDescent="0.35">
      <c r="B120" s="30"/>
      <c r="C120" s="30"/>
    </row>
    <row r="121" spans="2:3" ht="14.25" customHeight="1" x14ac:dyDescent="0.35">
      <c r="B121" s="30"/>
      <c r="C121" s="30"/>
    </row>
    <row r="122" spans="2:3" ht="14.25" customHeight="1" x14ac:dyDescent="0.35">
      <c r="B122" s="30"/>
      <c r="C122" s="30"/>
    </row>
    <row r="123" spans="2:3" ht="14.25" customHeight="1" x14ac:dyDescent="0.35">
      <c r="B123" s="30"/>
      <c r="C123" s="30"/>
    </row>
    <row r="124" spans="2:3" ht="14.25" customHeight="1" x14ac:dyDescent="0.35">
      <c r="B124" s="30"/>
      <c r="C124" s="30"/>
    </row>
    <row r="125" spans="2:3" ht="14.25" customHeight="1" x14ac:dyDescent="0.35">
      <c r="B125" s="30"/>
      <c r="C125" s="30"/>
    </row>
    <row r="126" spans="2:3" ht="14.25" customHeight="1" x14ac:dyDescent="0.35">
      <c r="B126" s="30"/>
      <c r="C126" s="30"/>
    </row>
    <row r="127" spans="2:3" ht="14.25" customHeight="1" x14ac:dyDescent="0.35">
      <c r="B127" s="30"/>
      <c r="C127" s="30"/>
    </row>
    <row r="128" spans="2:3" ht="14.25" customHeight="1" x14ac:dyDescent="0.35">
      <c r="B128" s="30"/>
      <c r="C128" s="30"/>
    </row>
    <row r="129" spans="2:3" ht="14.25" customHeight="1" x14ac:dyDescent="0.35">
      <c r="B129" s="30"/>
      <c r="C129" s="30"/>
    </row>
    <row r="130" spans="2:3" ht="14.25" customHeight="1" x14ac:dyDescent="0.35">
      <c r="B130" s="30"/>
      <c r="C130" s="30"/>
    </row>
    <row r="131" spans="2:3" ht="14.25" customHeight="1" x14ac:dyDescent="0.35">
      <c r="B131" s="30"/>
      <c r="C131" s="30"/>
    </row>
    <row r="132" spans="2:3" ht="14.25" customHeight="1" x14ac:dyDescent="0.35">
      <c r="B132" s="30"/>
      <c r="C132" s="30"/>
    </row>
    <row r="133" spans="2:3" ht="14.25" customHeight="1" x14ac:dyDescent="0.35">
      <c r="B133" s="30"/>
      <c r="C133" s="30"/>
    </row>
    <row r="134" spans="2:3" ht="14.25" customHeight="1" x14ac:dyDescent="0.35">
      <c r="B134" s="30"/>
      <c r="C134" s="30"/>
    </row>
    <row r="135" spans="2:3" ht="14.25" customHeight="1" x14ac:dyDescent="0.35">
      <c r="B135" s="30"/>
      <c r="C135" s="30"/>
    </row>
    <row r="136" spans="2:3" ht="14.25" customHeight="1" x14ac:dyDescent="0.35">
      <c r="B136" s="30"/>
      <c r="C136" s="30"/>
    </row>
    <row r="137" spans="2:3" ht="14.25" customHeight="1" x14ac:dyDescent="0.35">
      <c r="B137" s="30"/>
      <c r="C137" s="30"/>
    </row>
    <row r="138" spans="2:3" ht="14.25" customHeight="1" x14ac:dyDescent="0.35">
      <c r="B138" s="30"/>
      <c r="C138" s="30"/>
    </row>
    <row r="139" spans="2:3" ht="14.25" customHeight="1" x14ac:dyDescent="0.35">
      <c r="B139" s="30"/>
      <c r="C139" s="30"/>
    </row>
    <row r="140" spans="2:3" ht="14.25" customHeight="1" x14ac:dyDescent="0.35">
      <c r="B140" s="30"/>
      <c r="C140" s="30"/>
    </row>
    <row r="141" spans="2:3" ht="14.25" customHeight="1" x14ac:dyDescent="0.35">
      <c r="B141" s="30"/>
      <c r="C141" s="30"/>
    </row>
    <row r="142" spans="2:3" ht="14.25" customHeight="1" x14ac:dyDescent="0.35">
      <c r="B142" s="30"/>
      <c r="C142" s="30"/>
    </row>
    <row r="143" spans="2:3" ht="14.25" customHeight="1" x14ac:dyDescent="0.35">
      <c r="B143" s="30"/>
      <c r="C143" s="30"/>
    </row>
    <row r="144" spans="2:3" ht="14.25" customHeight="1" x14ac:dyDescent="0.35">
      <c r="B144" s="30"/>
      <c r="C144" s="30"/>
    </row>
    <row r="145" spans="2:3" ht="14.25" customHeight="1" x14ac:dyDescent="0.35">
      <c r="B145" s="30"/>
      <c r="C145" s="30"/>
    </row>
    <row r="146" spans="2:3" ht="14.25" customHeight="1" x14ac:dyDescent="0.35">
      <c r="B146" s="30"/>
      <c r="C146" s="30"/>
    </row>
    <row r="147" spans="2:3" ht="14.25" customHeight="1" x14ac:dyDescent="0.35">
      <c r="B147" s="30"/>
      <c r="C147" s="30"/>
    </row>
    <row r="148" spans="2:3" ht="14.25" customHeight="1" x14ac:dyDescent="0.35">
      <c r="B148" s="30"/>
      <c r="C148" s="30"/>
    </row>
    <row r="149" spans="2:3" ht="14.25" customHeight="1" x14ac:dyDescent="0.35">
      <c r="B149" s="30"/>
      <c r="C149" s="30"/>
    </row>
    <row r="150" spans="2:3" ht="14.25" customHeight="1" x14ac:dyDescent="0.35">
      <c r="B150" s="30"/>
      <c r="C150" s="30"/>
    </row>
    <row r="151" spans="2:3" ht="14.25" customHeight="1" x14ac:dyDescent="0.35">
      <c r="B151" s="30"/>
      <c r="C151" s="30"/>
    </row>
    <row r="152" spans="2:3" ht="14.25" customHeight="1" x14ac:dyDescent="0.35">
      <c r="B152" s="30"/>
      <c r="C152" s="30"/>
    </row>
    <row r="153" spans="2:3" ht="14.25" customHeight="1" x14ac:dyDescent="0.35">
      <c r="B153" s="30"/>
      <c r="C153" s="30"/>
    </row>
    <row r="154" spans="2:3" ht="14.25" customHeight="1" x14ac:dyDescent="0.35">
      <c r="B154" s="30"/>
      <c r="C154" s="30"/>
    </row>
    <row r="155" spans="2:3" ht="14.25" customHeight="1" x14ac:dyDescent="0.35">
      <c r="B155" s="30"/>
      <c r="C155" s="30"/>
    </row>
    <row r="156" spans="2:3" ht="14.25" customHeight="1" x14ac:dyDescent="0.35">
      <c r="B156" s="30"/>
      <c r="C156" s="30"/>
    </row>
    <row r="157" spans="2:3" ht="14.25" customHeight="1" x14ac:dyDescent="0.35">
      <c r="B157" s="30"/>
      <c r="C157" s="30"/>
    </row>
    <row r="158" spans="2:3" ht="14.25" customHeight="1" x14ac:dyDescent="0.35">
      <c r="B158" s="30"/>
      <c r="C158" s="30"/>
    </row>
    <row r="159" spans="2:3" ht="14.25" customHeight="1" x14ac:dyDescent="0.35">
      <c r="B159" s="30"/>
      <c r="C159" s="30"/>
    </row>
    <row r="160" spans="2:3" ht="14.25" customHeight="1" x14ac:dyDescent="0.35">
      <c r="B160" s="30"/>
      <c r="C160" s="30"/>
    </row>
    <row r="161" spans="2:3" ht="14.25" customHeight="1" x14ac:dyDescent="0.35">
      <c r="B161" s="30"/>
      <c r="C161" s="30"/>
    </row>
    <row r="162" spans="2:3" ht="14.25" customHeight="1" x14ac:dyDescent="0.35">
      <c r="B162" s="30"/>
      <c r="C162" s="30"/>
    </row>
    <row r="163" spans="2:3" ht="14.25" customHeight="1" x14ac:dyDescent="0.35">
      <c r="B163" s="30"/>
      <c r="C163" s="30"/>
    </row>
    <row r="164" spans="2:3" ht="14.25" customHeight="1" x14ac:dyDescent="0.35">
      <c r="B164" s="30"/>
      <c r="C164" s="30"/>
    </row>
    <row r="165" spans="2:3" ht="14.25" customHeight="1" x14ac:dyDescent="0.35">
      <c r="B165" s="30"/>
      <c r="C165" s="30"/>
    </row>
    <row r="166" spans="2:3" ht="14.25" customHeight="1" x14ac:dyDescent="0.35">
      <c r="B166" s="30"/>
      <c r="C166" s="30"/>
    </row>
    <row r="167" spans="2:3" ht="14.25" customHeight="1" x14ac:dyDescent="0.35">
      <c r="B167" s="30"/>
      <c r="C167" s="30"/>
    </row>
    <row r="168" spans="2:3" ht="14.25" customHeight="1" x14ac:dyDescent="0.35">
      <c r="B168" s="30"/>
      <c r="C168" s="30"/>
    </row>
    <row r="169" spans="2:3" ht="14.25" customHeight="1" x14ac:dyDescent="0.35">
      <c r="B169" s="30"/>
      <c r="C169" s="30"/>
    </row>
    <row r="170" spans="2:3" ht="14.25" customHeight="1" x14ac:dyDescent="0.35">
      <c r="B170" s="30"/>
      <c r="C170" s="30"/>
    </row>
    <row r="171" spans="2:3" ht="14.25" customHeight="1" x14ac:dyDescent="0.35">
      <c r="B171" s="30"/>
      <c r="C171" s="30"/>
    </row>
    <row r="172" spans="2:3" ht="14.25" customHeight="1" x14ac:dyDescent="0.35">
      <c r="B172" s="30"/>
      <c r="C172" s="30"/>
    </row>
    <row r="173" spans="2:3" ht="14.25" customHeight="1" x14ac:dyDescent="0.35">
      <c r="B173" s="30"/>
      <c r="C173" s="30"/>
    </row>
    <row r="174" spans="2:3" ht="14.25" customHeight="1" x14ac:dyDescent="0.35">
      <c r="B174" s="30"/>
      <c r="C174" s="30"/>
    </row>
    <row r="175" spans="2:3" ht="14.25" customHeight="1" x14ac:dyDescent="0.35">
      <c r="B175" s="30"/>
      <c r="C175" s="30"/>
    </row>
    <row r="176" spans="2:3" ht="14.25" customHeight="1" x14ac:dyDescent="0.35">
      <c r="B176" s="30"/>
      <c r="C176" s="30"/>
    </row>
    <row r="177" spans="2:3" ht="14.25" customHeight="1" x14ac:dyDescent="0.35">
      <c r="B177" s="30"/>
      <c r="C177" s="30"/>
    </row>
    <row r="178" spans="2:3" ht="14.25" customHeight="1" x14ac:dyDescent="0.35">
      <c r="B178" s="30"/>
      <c r="C178" s="30"/>
    </row>
    <row r="179" spans="2:3" ht="14.25" customHeight="1" x14ac:dyDescent="0.35">
      <c r="B179" s="30"/>
      <c r="C179" s="30"/>
    </row>
    <row r="180" spans="2:3" ht="14.25" customHeight="1" x14ac:dyDescent="0.35">
      <c r="B180" s="30"/>
      <c r="C180" s="30"/>
    </row>
    <row r="181" spans="2:3" ht="14.25" customHeight="1" x14ac:dyDescent="0.35">
      <c r="B181" s="30"/>
      <c r="C181" s="30"/>
    </row>
    <row r="182" spans="2:3" ht="14.25" customHeight="1" x14ac:dyDescent="0.35">
      <c r="B182" s="30"/>
      <c r="C182" s="30"/>
    </row>
    <row r="183" spans="2:3" ht="14.25" customHeight="1" x14ac:dyDescent="0.35">
      <c r="B183" s="30"/>
      <c r="C183" s="30"/>
    </row>
    <row r="184" spans="2:3" ht="14.25" customHeight="1" x14ac:dyDescent="0.35">
      <c r="B184" s="30"/>
      <c r="C184" s="30"/>
    </row>
    <row r="185" spans="2:3" ht="14.25" customHeight="1" x14ac:dyDescent="0.35">
      <c r="B185" s="30"/>
      <c r="C185" s="30"/>
    </row>
    <row r="186" spans="2:3" ht="14.25" customHeight="1" x14ac:dyDescent="0.35">
      <c r="B186" s="30"/>
      <c r="C186" s="30"/>
    </row>
    <row r="187" spans="2:3" ht="14.25" customHeight="1" x14ac:dyDescent="0.35">
      <c r="B187" s="30"/>
      <c r="C187" s="30"/>
    </row>
    <row r="188" spans="2:3" ht="14.25" customHeight="1" x14ac:dyDescent="0.35">
      <c r="B188" s="30"/>
      <c r="C188" s="30"/>
    </row>
    <row r="189" spans="2:3" ht="14.25" customHeight="1" x14ac:dyDescent="0.35">
      <c r="B189" s="30"/>
      <c r="C189" s="30"/>
    </row>
    <row r="190" spans="2:3" ht="14.25" customHeight="1" x14ac:dyDescent="0.35">
      <c r="B190" s="30"/>
      <c r="C190" s="30"/>
    </row>
    <row r="191" spans="2:3" ht="14.25" customHeight="1" x14ac:dyDescent="0.35">
      <c r="B191" s="30"/>
      <c r="C191" s="30"/>
    </row>
    <row r="192" spans="2:3" ht="14.25" customHeight="1" x14ac:dyDescent="0.35">
      <c r="B192" s="30"/>
      <c r="C192" s="30"/>
    </row>
    <row r="193" spans="2:3" ht="14.25" customHeight="1" x14ac:dyDescent="0.35">
      <c r="B193" s="30"/>
      <c r="C193" s="30"/>
    </row>
    <row r="194" spans="2:3" ht="14.25" customHeight="1" x14ac:dyDescent="0.35">
      <c r="B194" s="30"/>
      <c r="C194" s="30"/>
    </row>
    <row r="195" spans="2:3" ht="14.25" customHeight="1" x14ac:dyDescent="0.35">
      <c r="B195" s="30"/>
      <c r="C195" s="30"/>
    </row>
    <row r="196" spans="2:3" ht="14.25" customHeight="1" x14ac:dyDescent="0.35">
      <c r="B196" s="30"/>
      <c r="C196" s="30"/>
    </row>
    <row r="197" spans="2:3" ht="14.25" customHeight="1" x14ac:dyDescent="0.35">
      <c r="B197" s="30"/>
      <c r="C197" s="30"/>
    </row>
    <row r="198" spans="2:3" ht="14.25" customHeight="1" x14ac:dyDescent="0.35">
      <c r="B198" s="30"/>
      <c r="C198" s="30"/>
    </row>
    <row r="199" spans="2:3" ht="14.25" customHeight="1" x14ac:dyDescent="0.35">
      <c r="B199" s="30"/>
      <c r="C199" s="30"/>
    </row>
    <row r="200" spans="2:3" ht="14.25" customHeight="1" x14ac:dyDescent="0.35">
      <c r="B200" s="30"/>
      <c r="C200" s="30"/>
    </row>
    <row r="201" spans="2:3" ht="14.25" customHeight="1" x14ac:dyDescent="0.35">
      <c r="B201" s="30"/>
      <c r="C201" s="30"/>
    </row>
    <row r="202" spans="2:3" ht="14.25" customHeight="1" x14ac:dyDescent="0.35">
      <c r="B202" s="30"/>
      <c r="C202" s="30"/>
    </row>
    <row r="203" spans="2:3" ht="14.25" customHeight="1" x14ac:dyDescent="0.35">
      <c r="B203" s="30"/>
      <c r="C203" s="30"/>
    </row>
    <row r="204" spans="2:3" ht="14.25" customHeight="1" x14ac:dyDescent="0.35">
      <c r="B204" s="30"/>
      <c r="C204" s="30"/>
    </row>
    <row r="205" spans="2:3" ht="14.25" customHeight="1" x14ac:dyDescent="0.35">
      <c r="B205" s="30"/>
      <c r="C205" s="30"/>
    </row>
    <row r="206" spans="2:3" ht="14.25" customHeight="1" x14ac:dyDescent="0.35">
      <c r="B206" s="30"/>
      <c r="C206" s="30"/>
    </row>
    <row r="207" spans="2:3" ht="14.25" customHeight="1" x14ac:dyDescent="0.35">
      <c r="B207" s="30"/>
      <c r="C207" s="30"/>
    </row>
    <row r="208" spans="2:3" ht="14.25" customHeight="1" x14ac:dyDescent="0.35">
      <c r="B208" s="30"/>
      <c r="C208" s="30"/>
    </row>
    <row r="209" spans="2:3" ht="14.25" customHeight="1" x14ac:dyDescent="0.35">
      <c r="B209" s="30"/>
      <c r="C209" s="30"/>
    </row>
    <row r="210" spans="2:3" ht="14.25" customHeight="1" x14ac:dyDescent="0.35">
      <c r="B210" s="30"/>
      <c r="C210" s="30"/>
    </row>
    <row r="211" spans="2:3" ht="14.25" customHeight="1" x14ac:dyDescent="0.35">
      <c r="B211" s="30"/>
      <c r="C211" s="30"/>
    </row>
    <row r="212" spans="2:3" ht="14.25" customHeight="1" x14ac:dyDescent="0.35">
      <c r="B212" s="30"/>
      <c r="C212" s="30"/>
    </row>
    <row r="213" spans="2:3" ht="14.25" customHeight="1" x14ac:dyDescent="0.35">
      <c r="B213" s="30"/>
      <c r="C213" s="30"/>
    </row>
    <row r="214" spans="2:3" ht="14.25" customHeight="1" x14ac:dyDescent="0.35">
      <c r="B214" s="30"/>
      <c r="C214" s="30"/>
    </row>
    <row r="215" spans="2:3" ht="14.25" customHeight="1" x14ac:dyDescent="0.35">
      <c r="B215" s="30"/>
      <c r="C215" s="30"/>
    </row>
    <row r="216" spans="2:3" ht="14.25" customHeight="1" x14ac:dyDescent="0.35">
      <c r="B216" s="30"/>
      <c r="C216" s="30"/>
    </row>
    <row r="217" spans="2:3" ht="14.25" customHeight="1" x14ac:dyDescent="0.35">
      <c r="B217" s="30"/>
      <c r="C217" s="30"/>
    </row>
    <row r="218" spans="2:3" ht="14.25" customHeight="1" x14ac:dyDescent="0.35">
      <c r="B218" s="30"/>
      <c r="C218" s="30"/>
    </row>
    <row r="219" spans="2:3" ht="14.25" customHeight="1" x14ac:dyDescent="0.35">
      <c r="B219" s="30"/>
      <c r="C219" s="30"/>
    </row>
    <row r="220" spans="2:3" ht="14.25" customHeight="1" x14ac:dyDescent="0.35">
      <c r="B220" s="30"/>
      <c r="C220" s="30"/>
    </row>
    <row r="221" spans="2:3" ht="14.25" customHeight="1" x14ac:dyDescent="0.35">
      <c r="B221" s="30"/>
      <c r="C221" s="30"/>
    </row>
    <row r="222" spans="2:3" ht="14.25" customHeight="1" x14ac:dyDescent="0.35">
      <c r="B222" s="30"/>
      <c r="C222" s="30"/>
    </row>
    <row r="223" spans="2:3" ht="14.25" customHeight="1" x14ac:dyDescent="0.35">
      <c r="B223" s="30"/>
      <c r="C223" s="30"/>
    </row>
    <row r="224" spans="2:3" ht="14.25" customHeight="1" x14ac:dyDescent="0.35">
      <c r="B224" s="30"/>
      <c r="C224" s="30"/>
    </row>
    <row r="225" spans="2:3" ht="14.25" customHeight="1" x14ac:dyDescent="0.35">
      <c r="B225" s="30"/>
      <c r="C225" s="30"/>
    </row>
    <row r="226" spans="2:3" ht="14.25" customHeight="1" x14ac:dyDescent="0.35">
      <c r="B226" s="30"/>
      <c r="C226" s="30"/>
    </row>
    <row r="227" spans="2:3" ht="14.25" customHeight="1" x14ac:dyDescent="0.35">
      <c r="B227" s="30"/>
      <c r="C227" s="30"/>
    </row>
    <row r="228" spans="2:3" ht="14.25" customHeight="1" x14ac:dyDescent="0.35">
      <c r="B228" s="30"/>
      <c r="C228" s="30"/>
    </row>
    <row r="229" spans="2:3" ht="14.25" customHeight="1" x14ac:dyDescent="0.35">
      <c r="B229" s="30"/>
      <c r="C229" s="30"/>
    </row>
    <row r="230" spans="2:3" ht="14.25" customHeight="1" x14ac:dyDescent="0.35">
      <c r="B230" s="30"/>
      <c r="C230" s="30"/>
    </row>
    <row r="231" spans="2:3" ht="14.25" customHeight="1" x14ac:dyDescent="0.35">
      <c r="B231" s="30"/>
      <c r="C231" s="30"/>
    </row>
    <row r="232" spans="2:3" ht="14.25" customHeight="1" x14ac:dyDescent="0.35">
      <c r="B232" s="30"/>
      <c r="C232" s="30"/>
    </row>
    <row r="233" spans="2:3" ht="14.25" customHeight="1" x14ac:dyDescent="0.35">
      <c r="B233" s="30"/>
      <c r="C233" s="30"/>
    </row>
    <row r="234" spans="2:3" ht="14.25" customHeight="1" x14ac:dyDescent="0.35">
      <c r="B234" s="30"/>
      <c r="C234" s="30"/>
    </row>
    <row r="235" spans="2:3" ht="14.25" customHeight="1" x14ac:dyDescent="0.35">
      <c r="B235" s="30"/>
      <c r="C235" s="30"/>
    </row>
    <row r="236" spans="2:3" ht="14.25" customHeight="1" x14ac:dyDescent="0.35">
      <c r="B236" s="30"/>
      <c r="C236" s="30"/>
    </row>
    <row r="237" spans="2:3" ht="14.25" customHeight="1" x14ac:dyDescent="0.35">
      <c r="B237" s="30"/>
      <c r="C237" s="30"/>
    </row>
    <row r="238" spans="2:3" ht="14.25" customHeight="1" x14ac:dyDescent="0.35">
      <c r="B238" s="30"/>
      <c r="C238" s="30"/>
    </row>
    <row r="239" spans="2:3" ht="14.25" customHeight="1" x14ac:dyDescent="0.35">
      <c r="B239" s="30"/>
      <c r="C239" s="30"/>
    </row>
    <row r="240" spans="2:3" ht="14.25" customHeight="1" x14ac:dyDescent="0.35">
      <c r="B240" s="30"/>
      <c r="C240" s="30"/>
    </row>
    <row r="241" spans="2:3" ht="14.25" customHeight="1" x14ac:dyDescent="0.35">
      <c r="B241" s="30"/>
      <c r="C241" s="30"/>
    </row>
    <row r="242" spans="2:3" ht="14.25" customHeight="1" x14ac:dyDescent="0.35">
      <c r="B242" s="30"/>
      <c r="C242" s="30"/>
    </row>
    <row r="243" spans="2:3" ht="14.25" customHeight="1" x14ac:dyDescent="0.35">
      <c r="B243" s="30"/>
      <c r="C243" s="30"/>
    </row>
    <row r="244" spans="2:3" ht="14.25" customHeight="1" x14ac:dyDescent="0.35">
      <c r="B244" s="30"/>
      <c r="C244" s="30"/>
    </row>
    <row r="245" spans="2:3" ht="14.25" customHeight="1" x14ac:dyDescent="0.35">
      <c r="B245" s="30"/>
      <c r="C245" s="30"/>
    </row>
    <row r="246" spans="2:3" ht="14.25" customHeight="1" x14ac:dyDescent="0.35">
      <c r="B246" s="30"/>
      <c r="C246" s="30"/>
    </row>
    <row r="247" spans="2:3" ht="14.25" customHeight="1" x14ac:dyDescent="0.35">
      <c r="B247" s="30"/>
      <c r="C247" s="30"/>
    </row>
    <row r="248" spans="2:3" ht="14.25" customHeight="1" x14ac:dyDescent="0.35">
      <c r="B248" s="30"/>
      <c r="C248" s="30"/>
    </row>
    <row r="249" spans="2:3" ht="14.25" customHeight="1" x14ac:dyDescent="0.35">
      <c r="B249" s="30"/>
      <c r="C249" s="30"/>
    </row>
    <row r="250" spans="2:3" ht="14.25" customHeight="1" x14ac:dyDescent="0.35">
      <c r="B250" s="30"/>
      <c r="C250" s="30"/>
    </row>
    <row r="251" spans="2:3" ht="14.25" customHeight="1" x14ac:dyDescent="0.35">
      <c r="B251" s="30"/>
      <c r="C251" s="30"/>
    </row>
    <row r="252" spans="2:3" ht="14.25" customHeight="1" x14ac:dyDescent="0.35">
      <c r="B252" s="30"/>
      <c r="C252" s="30"/>
    </row>
    <row r="253" spans="2:3" ht="14.25" customHeight="1" x14ac:dyDescent="0.35">
      <c r="B253" s="30"/>
      <c r="C253" s="30"/>
    </row>
    <row r="254" spans="2:3" ht="14.25" customHeight="1" x14ac:dyDescent="0.35">
      <c r="B254" s="30"/>
      <c r="C254" s="30"/>
    </row>
    <row r="255" spans="2:3" ht="14.25" customHeight="1" x14ac:dyDescent="0.35">
      <c r="B255" s="30"/>
      <c r="C255" s="30"/>
    </row>
    <row r="256" spans="2:3" ht="14.25" customHeight="1" x14ac:dyDescent="0.35">
      <c r="B256" s="30"/>
      <c r="C256" s="30"/>
    </row>
    <row r="257" spans="2:3" ht="14.25" customHeight="1" x14ac:dyDescent="0.35">
      <c r="B257" s="30"/>
      <c r="C257" s="30"/>
    </row>
    <row r="258" spans="2:3" ht="14.25" customHeight="1" x14ac:dyDescent="0.35">
      <c r="B258" s="30"/>
      <c r="C258" s="30"/>
    </row>
    <row r="259" spans="2:3" ht="14.25" customHeight="1" x14ac:dyDescent="0.35">
      <c r="B259" s="30"/>
      <c r="C259" s="30"/>
    </row>
    <row r="260" spans="2:3" ht="14.25" customHeight="1" x14ac:dyDescent="0.35">
      <c r="B260" s="30"/>
      <c r="C260" s="30"/>
    </row>
    <row r="261" spans="2:3" ht="14.25" customHeight="1" x14ac:dyDescent="0.35">
      <c r="B261" s="30"/>
      <c r="C261" s="30"/>
    </row>
    <row r="262" spans="2:3" ht="14.25" customHeight="1" x14ac:dyDescent="0.35">
      <c r="B262" s="30"/>
      <c r="C262" s="30"/>
    </row>
    <row r="263" spans="2:3" ht="14.25" customHeight="1" x14ac:dyDescent="0.35">
      <c r="B263" s="30"/>
      <c r="C263" s="30"/>
    </row>
    <row r="264" spans="2:3" ht="14.25" customHeight="1" x14ac:dyDescent="0.35">
      <c r="B264" s="30"/>
      <c r="C264" s="30"/>
    </row>
    <row r="265" spans="2:3" ht="14.25" customHeight="1" x14ac:dyDescent="0.35">
      <c r="B265" s="30"/>
      <c r="C265" s="30"/>
    </row>
    <row r="266" spans="2:3" ht="14.25" customHeight="1" x14ac:dyDescent="0.35">
      <c r="B266" s="30"/>
      <c r="C266" s="30"/>
    </row>
    <row r="267" spans="2:3" ht="14.25" customHeight="1" x14ac:dyDescent="0.35">
      <c r="B267" s="30"/>
      <c r="C267" s="30"/>
    </row>
    <row r="268" spans="2:3" ht="14.25" customHeight="1" x14ac:dyDescent="0.35">
      <c r="B268" s="30"/>
      <c r="C268" s="30"/>
    </row>
    <row r="269" spans="2:3" ht="14.25" customHeight="1" x14ac:dyDescent="0.35">
      <c r="B269" s="30"/>
      <c r="C269" s="30"/>
    </row>
    <row r="270" spans="2:3" ht="14.25" customHeight="1" x14ac:dyDescent="0.35">
      <c r="B270" s="30"/>
      <c r="C270" s="30"/>
    </row>
    <row r="271" spans="2:3" ht="14.25" customHeight="1" x14ac:dyDescent="0.35">
      <c r="B271" s="30"/>
      <c r="C271" s="30"/>
    </row>
    <row r="272" spans="2:3" ht="14.25" customHeight="1" x14ac:dyDescent="0.35">
      <c r="B272" s="30"/>
      <c r="C272" s="30"/>
    </row>
    <row r="273" spans="2:3" ht="14.25" customHeight="1" x14ac:dyDescent="0.35">
      <c r="B273" s="30"/>
      <c r="C273" s="30"/>
    </row>
    <row r="274" spans="2:3" ht="14.25" customHeight="1" x14ac:dyDescent="0.35">
      <c r="B274" s="30"/>
      <c r="C274" s="30"/>
    </row>
    <row r="275" spans="2:3" ht="14.25" customHeight="1" x14ac:dyDescent="0.35">
      <c r="B275" s="30"/>
      <c r="C275" s="30"/>
    </row>
    <row r="276" spans="2:3" ht="14.25" customHeight="1" x14ac:dyDescent="0.35">
      <c r="B276" s="30"/>
      <c r="C276" s="30"/>
    </row>
    <row r="277" spans="2:3" ht="14.25" customHeight="1" x14ac:dyDescent="0.35">
      <c r="B277" s="30"/>
      <c r="C277" s="30"/>
    </row>
    <row r="278" spans="2:3" ht="14.25" customHeight="1" x14ac:dyDescent="0.35">
      <c r="B278" s="30"/>
      <c r="C278" s="30"/>
    </row>
    <row r="279" spans="2:3" ht="14.25" customHeight="1" x14ac:dyDescent="0.35">
      <c r="B279" s="30"/>
      <c r="C279" s="30"/>
    </row>
    <row r="280" spans="2:3" ht="14.25" customHeight="1" x14ac:dyDescent="0.35">
      <c r="B280" s="30"/>
      <c r="C280" s="30"/>
    </row>
    <row r="281" spans="2:3" ht="14.25" customHeight="1" x14ac:dyDescent="0.35">
      <c r="B281" s="30"/>
      <c r="C281" s="30"/>
    </row>
    <row r="282" spans="2:3" ht="14.25" customHeight="1" x14ac:dyDescent="0.35">
      <c r="B282" s="30"/>
      <c r="C282" s="30"/>
    </row>
    <row r="283" spans="2:3" ht="14.25" customHeight="1" x14ac:dyDescent="0.35">
      <c r="B283" s="30"/>
      <c r="C283" s="30"/>
    </row>
    <row r="284" spans="2:3" ht="14.25" customHeight="1" x14ac:dyDescent="0.35">
      <c r="B284" s="30"/>
      <c r="C284" s="30"/>
    </row>
    <row r="285" spans="2:3" ht="14.25" customHeight="1" x14ac:dyDescent="0.35">
      <c r="B285" s="30"/>
      <c r="C285" s="30"/>
    </row>
    <row r="286" spans="2:3" ht="14.25" customHeight="1" x14ac:dyDescent="0.35">
      <c r="B286" s="30"/>
      <c r="C286" s="30"/>
    </row>
    <row r="287" spans="2:3" ht="14.25" customHeight="1" x14ac:dyDescent="0.35">
      <c r="B287" s="30"/>
      <c r="C287" s="30"/>
    </row>
    <row r="288" spans="2:3" ht="14.25" customHeight="1" x14ac:dyDescent="0.35">
      <c r="B288" s="30"/>
      <c r="C288" s="30"/>
    </row>
    <row r="289" spans="2:3" ht="14.25" customHeight="1" x14ac:dyDescent="0.35">
      <c r="B289" s="30"/>
      <c r="C289" s="30"/>
    </row>
    <row r="290" spans="2:3" ht="14.25" customHeight="1" x14ac:dyDescent="0.35">
      <c r="B290" s="30"/>
      <c r="C290" s="30"/>
    </row>
    <row r="291" spans="2:3" ht="14.25" customHeight="1" x14ac:dyDescent="0.35">
      <c r="B291" s="30"/>
      <c r="C291" s="30"/>
    </row>
    <row r="292" spans="2:3" ht="14.25" customHeight="1" x14ac:dyDescent="0.35">
      <c r="B292" s="30"/>
      <c r="C292" s="30"/>
    </row>
    <row r="293" spans="2:3" ht="14.25" customHeight="1" x14ac:dyDescent="0.35">
      <c r="B293" s="30"/>
      <c r="C293" s="30"/>
    </row>
    <row r="294" spans="2:3" ht="14.25" customHeight="1" x14ac:dyDescent="0.35">
      <c r="B294" s="30"/>
      <c r="C294" s="30"/>
    </row>
    <row r="295" spans="2:3" ht="14.25" customHeight="1" x14ac:dyDescent="0.35">
      <c r="B295" s="30"/>
      <c r="C295" s="30"/>
    </row>
    <row r="296" spans="2:3" ht="14.25" customHeight="1" x14ac:dyDescent="0.35">
      <c r="B296" s="30"/>
      <c r="C296" s="30"/>
    </row>
    <row r="297" spans="2:3" ht="14.25" customHeight="1" x14ac:dyDescent="0.35">
      <c r="B297" s="30"/>
      <c r="C297" s="30"/>
    </row>
    <row r="298" spans="2:3" ht="14.25" customHeight="1" x14ac:dyDescent="0.35">
      <c r="B298" s="30"/>
      <c r="C298" s="30"/>
    </row>
    <row r="299" spans="2:3" ht="14.25" customHeight="1" x14ac:dyDescent="0.35">
      <c r="B299" s="30"/>
      <c r="C299" s="30"/>
    </row>
    <row r="300" spans="2:3" ht="14.25" customHeight="1" x14ac:dyDescent="0.35">
      <c r="B300" s="30"/>
      <c r="C300" s="30"/>
    </row>
    <row r="301" spans="2:3" ht="14.25" customHeight="1" x14ac:dyDescent="0.35">
      <c r="B301" s="30"/>
      <c r="C301" s="30"/>
    </row>
    <row r="302" spans="2:3" ht="14.25" customHeight="1" x14ac:dyDescent="0.35">
      <c r="B302" s="30"/>
      <c r="C302" s="30"/>
    </row>
    <row r="303" spans="2:3" ht="14.25" customHeight="1" x14ac:dyDescent="0.35">
      <c r="B303" s="30"/>
      <c r="C303" s="30"/>
    </row>
    <row r="304" spans="2:3" ht="14.25" customHeight="1" x14ac:dyDescent="0.35">
      <c r="B304" s="30"/>
      <c r="C304" s="30"/>
    </row>
    <row r="305" spans="2:3" ht="14.25" customHeight="1" x14ac:dyDescent="0.35">
      <c r="B305" s="30"/>
      <c r="C305" s="30"/>
    </row>
    <row r="306" spans="2:3" ht="14.25" customHeight="1" x14ac:dyDescent="0.35">
      <c r="B306" s="30"/>
      <c r="C306" s="30"/>
    </row>
    <row r="307" spans="2:3" ht="14.25" customHeight="1" x14ac:dyDescent="0.35">
      <c r="B307" s="30"/>
      <c r="C307" s="30"/>
    </row>
    <row r="308" spans="2:3" ht="14.25" customHeight="1" x14ac:dyDescent="0.35">
      <c r="B308" s="30"/>
      <c r="C308" s="30"/>
    </row>
    <row r="309" spans="2:3" ht="14.25" customHeight="1" x14ac:dyDescent="0.35">
      <c r="B309" s="30"/>
      <c r="C309" s="30"/>
    </row>
    <row r="310" spans="2:3" ht="14.25" customHeight="1" x14ac:dyDescent="0.35">
      <c r="B310" s="30"/>
      <c r="C310" s="30"/>
    </row>
    <row r="311" spans="2:3" ht="14.25" customHeight="1" x14ac:dyDescent="0.35">
      <c r="B311" s="30"/>
      <c r="C311" s="30"/>
    </row>
    <row r="312" spans="2:3" ht="14.25" customHeight="1" x14ac:dyDescent="0.35">
      <c r="B312" s="30"/>
      <c r="C312" s="30"/>
    </row>
    <row r="313" spans="2:3" ht="14.25" customHeight="1" x14ac:dyDescent="0.35">
      <c r="B313" s="30"/>
      <c r="C313" s="30"/>
    </row>
    <row r="314" spans="2:3" ht="14.25" customHeight="1" x14ac:dyDescent="0.35">
      <c r="B314" s="30"/>
      <c r="C314" s="30"/>
    </row>
    <row r="315" spans="2:3" ht="14.25" customHeight="1" x14ac:dyDescent="0.35">
      <c r="B315" s="30"/>
      <c r="C315" s="30"/>
    </row>
    <row r="316" spans="2:3" ht="14.25" customHeight="1" x14ac:dyDescent="0.35">
      <c r="B316" s="30"/>
      <c r="C316" s="30"/>
    </row>
    <row r="317" spans="2:3" ht="14.25" customHeight="1" x14ac:dyDescent="0.35">
      <c r="B317" s="30"/>
      <c r="C317" s="30"/>
    </row>
    <row r="318" spans="2:3" ht="14.25" customHeight="1" x14ac:dyDescent="0.35">
      <c r="B318" s="30"/>
      <c r="C318" s="30"/>
    </row>
    <row r="319" spans="2:3" ht="14.25" customHeight="1" x14ac:dyDescent="0.35">
      <c r="B319" s="30"/>
      <c r="C319" s="30"/>
    </row>
    <row r="320" spans="2:3" ht="14.25" customHeight="1" x14ac:dyDescent="0.35">
      <c r="B320" s="30"/>
      <c r="C320" s="30"/>
    </row>
    <row r="321" spans="2:3" ht="14.25" customHeight="1" x14ac:dyDescent="0.35">
      <c r="B321" s="30"/>
      <c r="C321" s="30"/>
    </row>
    <row r="322" spans="2:3" ht="14.25" customHeight="1" x14ac:dyDescent="0.35">
      <c r="B322" s="30"/>
      <c r="C322" s="30"/>
    </row>
    <row r="323" spans="2:3" ht="14.25" customHeight="1" x14ac:dyDescent="0.35">
      <c r="B323" s="30"/>
      <c r="C323" s="30"/>
    </row>
    <row r="324" spans="2:3" ht="14.25" customHeight="1" x14ac:dyDescent="0.35">
      <c r="B324" s="30"/>
      <c r="C324" s="30"/>
    </row>
    <row r="325" spans="2:3" ht="14.25" customHeight="1" x14ac:dyDescent="0.35">
      <c r="B325" s="30"/>
      <c r="C325" s="30"/>
    </row>
    <row r="326" spans="2:3" ht="14.25" customHeight="1" x14ac:dyDescent="0.35">
      <c r="B326" s="30"/>
      <c r="C326" s="30"/>
    </row>
    <row r="327" spans="2:3" ht="14.25" customHeight="1" x14ac:dyDescent="0.35">
      <c r="B327" s="30"/>
      <c r="C327" s="30"/>
    </row>
    <row r="328" spans="2:3" ht="14.25" customHeight="1" x14ac:dyDescent="0.35">
      <c r="B328" s="30"/>
      <c r="C328" s="30"/>
    </row>
    <row r="329" spans="2:3" ht="14.25" customHeight="1" x14ac:dyDescent="0.35">
      <c r="B329" s="30"/>
      <c r="C329" s="30"/>
    </row>
    <row r="330" spans="2:3" ht="14.25" customHeight="1" x14ac:dyDescent="0.35">
      <c r="B330" s="30"/>
      <c r="C330" s="30"/>
    </row>
    <row r="331" spans="2:3" ht="14.25" customHeight="1" x14ac:dyDescent="0.35">
      <c r="B331" s="30"/>
      <c r="C331" s="30"/>
    </row>
    <row r="332" spans="2:3" ht="14.25" customHeight="1" x14ac:dyDescent="0.35">
      <c r="B332" s="30"/>
      <c r="C332" s="30"/>
    </row>
    <row r="333" spans="2:3" ht="14.25" customHeight="1" x14ac:dyDescent="0.35">
      <c r="B333" s="30"/>
      <c r="C333" s="30"/>
    </row>
    <row r="334" spans="2:3" ht="14.25" customHeight="1" x14ac:dyDescent="0.35">
      <c r="B334" s="30"/>
      <c r="C334" s="30"/>
    </row>
    <row r="335" spans="2:3" ht="14.25" customHeight="1" x14ac:dyDescent="0.35">
      <c r="B335" s="30"/>
      <c r="C335" s="30"/>
    </row>
    <row r="336" spans="2:3" ht="14.25" customHeight="1" x14ac:dyDescent="0.35">
      <c r="B336" s="30"/>
      <c r="C336" s="30"/>
    </row>
    <row r="337" spans="2:3" ht="14.25" customHeight="1" x14ac:dyDescent="0.35">
      <c r="B337" s="30"/>
      <c r="C337" s="30"/>
    </row>
    <row r="338" spans="2:3" ht="14.25" customHeight="1" x14ac:dyDescent="0.35">
      <c r="B338" s="30"/>
      <c r="C338" s="30"/>
    </row>
    <row r="339" spans="2:3" ht="14.25" customHeight="1" x14ac:dyDescent="0.35">
      <c r="B339" s="30"/>
      <c r="C339" s="30"/>
    </row>
    <row r="340" spans="2:3" ht="14.25" customHeight="1" x14ac:dyDescent="0.35">
      <c r="B340" s="30"/>
      <c r="C340" s="30"/>
    </row>
    <row r="341" spans="2:3" ht="14.25" customHeight="1" x14ac:dyDescent="0.35">
      <c r="B341" s="30"/>
      <c r="C341" s="30"/>
    </row>
    <row r="342" spans="2:3" ht="14.25" customHeight="1" x14ac:dyDescent="0.35">
      <c r="B342" s="30"/>
      <c r="C342" s="30"/>
    </row>
    <row r="343" spans="2:3" ht="14.25" customHeight="1" x14ac:dyDescent="0.35">
      <c r="B343" s="30"/>
      <c r="C343" s="30"/>
    </row>
    <row r="344" spans="2:3" ht="14.25" customHeight="1" x14ac:dyDescent="0.35">
      <c r="B344" s="30"/>
      <c r="C344" s="30"/>
    </row>
    <row r="345" spans="2:3" ht="14.25" customHeight="1" x14ac:dyDescent="0.35">
      <c r="B345" s="30"/>
      <c r="C345" s="30"/>
    </row>
    <row r="346" spans="2:3" ht="14.25" customHeight="1" x14ac:dyDescent="0.35">
      <c r="B346" s="30"/>
      <c r="C346" s="30"/>
    </row>
    <row r="347" spans="2:3" ht="14.25" customHeight="1" x14ac:dyDescent="0.35">
      <c r="B347" s="30"/>
      <c r="C347" s="30"/>
    </row>
    <row r="348" spans="2:3" ht="14.25" customHeight="1" x14ac:dyDescent="0.35">
      <c r="B348" s="30"/>
      <c r="C348" s="30"/>
    </row>
    <row r="349" spans="2:3" ht="14.25" customHeight="1" x14ac:dyDescent="0.35">
      <c r="B349" s="30"/>
      <c r="C349" s="30"/>
    </row>
    <row r="350" spans="2:3" ht="14.25" customHeight="1" x14ac:dyDescent="0.35">
      <c r="B350" s="30"/>
      <c r="C350" s="30"/>
    </row>
    <row r="351" spans="2:3" ht="14.25" customHeight="1" x14ac:dyDescent="0.35">
      <c r="B351" s="30"/>
      <c r="C351" s="30"/>
    </row>
    <row r="352" spans="2:3" ht="14.25" customHeight="1" x14ac:dyDescent="0.35">
      <c r="B352" s="30"/>
      <c r="C352" s="30"/>
    </row>
    <row r="353" spans="2:3" ht="14.25" customHeight="1" x14ac:dyDescent="0.35">
      <c r="B353" s="30"/>
      <c r="C353" s="30"/>
    </row>
    <row r="354" spans="2:3" ht="14.25" customHeight="1" x14ac:dyDescent="0.35">
      <c r="B354" s="30"/>
      <c r="C354" s="30"/>
    </row>
    <row r="355" spans="2:3" ht="14.25" customHeight="1" x14ac:dyDescent="0.35">
      <c r="B355" s="30"/>
      <c r="C355" s="30"/>
    </row>
    <row r="356" spans="2:3" ht="14.25" customHeight="1" x14ac:dyDescent="0.35">
      <c r="B356" s="30"/>
      <c r="C356" s="30"/>
    </row>
    <row r="357" spans="2:3" ht="14.25" customHeight="1" x14ac:dyDescent="0.35">
      <c r="B357" s="30"/>
      <c r="C357" s="30"/>
    </row>
    <row r="358" spans="2:3" ht="14.25" customHeight="1" x14ac:dyDescent="0.35">
      <c r="B358" s="30"/>
      <c r="C358" s="30"/>
    </row>
    <row r="359" spans="2:3" ht="14.25" customHeight="1" x14ac:dyDescent="0.35">
      <c r="B359" s="30"/>
      <c r="C359" s="30"/>
    </row>
    <row r="360" spans="2:3" ht="14.25" customHeight="1" x14ac:dyDescent="0.35">
      <c r="B360" s="30"/>
      <c r="C360" s="30"/>
    </row>
    <row r="361" spans="2:3" ht="14.25" customHeight="1" x14ac:dyDescent="0.35">
      <c r="B361" s="30"/>
      <c r="C361" s="30"/>
    </row>
    <row r="362" spans="2:3" ht="14.25" customHeight="1" x14ac:dyDescent="0.35">
      <c r="B362" s="30"/>
      <c r="C362" s="30"/>
    </row>
    <row r="363" spans="2:3" ht="14.25" customHeight="1" x14ac:dyDescent="0.35">
      <c r="B363" s="30"/>
      <c r="C363" s="30"/>
    </row>
    <row r="364" spans="2:3" ht="14.25" customHeight="1" x14ac:dyDescent="0.35">
      <c r="B364" s="30"/>
      <c r="C364" s="30"/>
    </row>
    <row r="365" spans="2:3" ht="14.25" customHeight="1" x14ac:dyDescent="0.35">
      <c r="B365" s="30"/>
      <c r="C365" s="30"/>
    </row>
    <row r="366" spans="2:3" ht="14.25" customHeight="1" x14ac:dyDescent="0.35">
      <c r="B366" s="30"/>
      <c r="C366" s="30"/>
    </row>
    <row r="367" spans="2:3" ht="14.25" customHeight="1" x14ac:dyDescent="0.35">
      <c r="B367" s="30"/>
      <c r="C367" s="30"/>
    </row>
    <row r="368" spans="2:3" ht="14.25" customHeight="1" x14ac:dyDescent="0.35">
      <c r="B368" s="30"/>
      <c r="C368" s="30"/>
    </row>
    <row r="369" spans="2:3" ht="14.25" customHeight="1" x14ac:dyDescent="0.35">
      <c r="B369" s="30"/>
      <c r="C369" s="30"/>
    </row>
    <row r="370" spans="2:3" ht="14.25" customHeight="1" x14ac:dyDescent="0.35">
      <c r="B370" s="30"/>
      <c r="C370" s="30"/>
    </row>
    <row r="371" spans="2:3" ht="14.25" customHeight="1" x14ac:dyDescent="0.35">
      <c r="B371" s="30"/>
      <c r="C371" s="30"/>
    </row>
    <row r="372" spans="2:3" ht="14.25" customHeight="1" x14ac:dyDescent="0.35">
      <c r="B372" s="30"/>
      <c r="C372" s="30"/>
    </row>
    <row r="373" spans="2:3" ht="14.25" customHeight="1" x14ac:dyDescent="0.35">
      <c r="B373" s="30"/>
      <c r="C373" s="30"/>
    </row>
    <row r="374" spans="2:3" ht="14.25" customHeight="1" x14ac:dyDescent="0.35">
      <c r="B374" s="30"/>
      <c r="C374" s="30"/>
    </row>
    <row r="375" spans="2:3" ht="14.25" customHeight="1" x14ac:dyDescent="0.35">
      <c r="B375" s="30"/>
      <c r="C375" s="30"/>
    </row>
    <row r="376" spans="2:3" ht="14.25" customHeight="1" x14ac:dyDescent="0.35">
      <c r="B376" s="30"/>
      <c r="C376" s="30"/>
    </row>
    <row r="377" spans="2:3" ht="14.25" customHeight="1" x14ac:dyDescent="0.35">
      <c r="B377" s="30"/>
      <c r="C377" s="30"/>
    </row>
    <row r="378" spans="2:3" ht="14.25" customHeight="1" x14ac:dyDescent="0.35">
      <c r="B378" s="30"/>
      <c r="C378" s="30"/>
    </row>
    <row r="379" spans="2:3" ht="14.25" customHeight="1" x14ac:dyDescent="0.35">
      <c r="B379" s="30"/>
      <c r="C379" s="30"/>
    </row>
    <row r="380" spans="2:3" ht="14.25" customHeight="1" x14ac:dyDescent="0.35">
      <c r="B380" s="30"/>
      <c r="C380" s="30"/>
    </row>
    <row r="381" spans="2:3" ht="14.25" customHeight="1" x14ac:dyDescent="0.35">
      <c r="B381" s="30"/>
      <c r="C381" s="30"/>
    </row>
    <row r="382" spans="2:3" ht="14.25" customHeight="1" x14ac:dyDescent="0.35">
      <c r="B382" s="30"/>
      <c r="C382" s="30"/>
    </row>
    <row r="383" spans="2:3" ht="14.25" customHeight="1" x14ac:dyDescent="0.35">
      <c r="B383" s="30"/>
      <c r="C383" s="30"/>
    </row>
    <row r="384" spans="2:3" ht="14.25" customHeight="1" x14ac:dyDescent="0.35">
      <c r="B384" s="30"/>
      <c r="C384" s="30"/>
    </row>
    <row r="385" spans="2:3" ht="14.25" customHeight="1" x14ac:dyDescent="0.35">
      <c r="B385" s="30"/>
      <c r="C385" s="30"/>
    </row>
    <row r="386" spans="2:3" ht="14.25" customHeight="1" x14ac:dyDescent="0.35">
      <c r="B386" s="30"/>
      <c r="C386" s="30"/>
    </row>
    <row r="387" spans="2:3" ht="14.25" customHeight="1" x14ac:dyDescent="0.35">
      <c r="B387" s="30"/>
      <c r="C387" s="30"/>
    </row>
    <row r="388" spans="2:3" ht="14.25" customHeight="1" x14ac:dyDescent="0.35">
      <c r="B388" s="30"/>
      <c r="C388" s="30"/>
    </row>
    <row r="389" spans="2:3" ht="14.25" customHeight="1" x14ac:dyDescent="0.35">
      <c r="B389" s="30"/>
      <c r="C389" s="30"/>
    </row>
    <row r="390" spans="2:3" ht="14.25" customHeight="1" x14ac:dyDescent="0.35">
      <c r="B390" s="30"/>
      <c r="C390" s="30"/>
    </row>
    <row r="391" spans="2:3" ht="14.25" customHeight="1" x14ac:dyDescent="0.35">
      <c r="B391" s="30"/>
      <c r="C391" s="30"/>
    </row>
    <row r="392" spans="2:3" ht="14.25" customHeight="1" x14ac:dyDescent="0.35">
      <c r="B392" s="30"/>
      <c r="C392" s="30"/>
    </row>
    <row r="393" spans="2:3" ht="14.25" customHeight="1" x14ac:dyDescent="0.35">
      <c r="B393" s="30"/>
      <c r="C393" s="30"/>
    </row>
    <row r="394" spans="2:3" ht="14.25" customHeight="1" x14ac:dyDescent="0.35">
      <c r="B394" s="30"/>
      <c r="C394" s="30"/>
    </row>
    <row r="395" spans="2:3" ht="14.25" customHeight="1" x14ac:dyDescent="0.35">
      <c r="B395" s="30"/>
      <c r="C395" s="30"/>
    </row>
    <row r="396" spans="2:3" ht="14.25" customHeight="1" x14ac:dyDescent="0.35">
      <c r="B396" s="30"/>
      <c r="C396" s="30"/>
    </row>
    <row r="397" spans="2:3" ht="14.25" customHeight="1" x14ac:dyDescent="0.35">
      <c r="B397" s="30"/>
      <c r="C397" s="30"/>
    </row>
    <row r="398" spans="2:3" ht="14.25" customHeight="1" x14ac:dyDescent="0.35">
      <c r="B398" s="30"/>
      <c r="C398" s="30"/>
    </row>
    <row r="399" spans="2:3" ht="14.25" customHeight="1" x14ac:dyDescent="0.35">
      <c r="B399" s="30"/>
      <c r="C399" s="30"/>
    </row>
    <row r="400" spans="2:3" ht="14.25" customHeight="1" x14ac:dyDescent="0.35">
      <c r="B400" s="30"/>
      <c r="C400" s="30"/>
    </row>
    <row r="401" spans="2:3" ht="14.25" customHeight="1" x14ac:dyDescent="0.35">
      <c r="B401" s="30"/>
      <c r="C401" s="30"/>
    </row>
    <row r="402" spans="2:3" ht="14.25" customHeight="1" x14ac:dyDescent="0.35">
      <c r="B402" s="30"/>
      <c r="C402" s="30"/>
    </row>
    <row r="403" spans="2:3" ht="14.25" customHeight="1" x14ac:dyDescent="0.35">
      <c r="B403" s="30"/>
      <c r="C403" s="30"/>
    </row>
    <row r="404" spans="2:3" ht="14.25" customHeight="1" x14ac:dyDescent="0.35">
      <c r="B404" s="30"/>
      <c r="C404" s="30"/>
    </row>
    <row r="405" spans="2:3" ht="14.25" customHeight="1" x14ac:dyDescent="0.35">
      <c r="B405" s="30"/>
      <c r="C405" s="30"/>
    </row>
    <row r="406" spans="2:3" ht="14.25" customHeight="1" x14ac:dyDescent="0.35">
      <c r="B406" s="30"/>
      <c r="C406" s="30"/>
    </row>
    <row r="407" spans="2:3" ht="14.25" customHeight="1" x14ac:dyDescent="0.35">
      <c r="B407" s="30"/>
      <c r="C407" s="30"/>
    </row>
    <row r="408" spans="2:3" ht="14.25" customHeight="1" x14ac:dyDescent="0.35">
      <c r="B408" s="30"/>
      <c r="C408" s="30"/>
    </row>
    <row r="409" spans="2:3" ht="14.25" customHeight="1" x14ac:dyDescent="0.35">
      <c r="B409" s="30"/>
      <c r="C409" s="30"/>
    </row>
    <row r="410" spans="2:3" ht="14.25" customHeight="1" x14ac:dyDescent="0.35">
      <c r="B410" s="30"/>
      <c r="C410" s="30"/>
    </row>
    <row r="411" spans="2:3" ht="14.25" customHeight="1" x14ac:dyDescent="0.35">
      <c r="B411" s="30"/>
      <c r="C411" s="30"/>
    </row>
    <row r="412" spans="2:3" ht="14.25" customHeight="1" x14ac:dyDescent="0.35">
      <c r="B412" s="30"/>
      <c r="C412" s="30"/>
    </row>
    <row r="413" spans="2:3" ht="14.25" customHeight="1" x14ac:dyDescent="0.35">
      <c r="B413" s="30"/>
      <c r="C413" s="30"/>
    </row>
    <row r="414" spans="2:3" ht="14.25" customHeight="1" x14ac:dyDescent="0.35">
      <c r="B414" s="30"/>
      <c r="C414" s="30"/>
    </row>
    <row r="415" spans="2:3" ht="14.25" customHeight="1" x14ac:dyDescent="0.35">
      <c r="B415" s="30"/>
      <c r="C415" s="30"/>
    </row>
    <row r="416" spans="2:3" ht="14.25" customHeight="1" x14ac:dyDescent="0.35">
      <c r="B416" s="30"/>
      <c r="C416" s="30"/>
    </row>
    <row r="417" spans="2:3" ht="14.25" customHeight="1" x14ac:dyDescent="0.35">
      <c r="B417" s="30"/>
      <c r="C417" s="30"/>
    </row>
    <row r="418" spans="2:3" ht="14.25" customHeight="1" x14ac:dyDescent="0.35">
      <c r="B418" s="30"/>
      <c r="C418" s="30"/>
    </row>
    <row r="419" spans="2:3" ht="14.25" customHeight="1" x14ac:dyDescent="0.35">
      <c r="B419" s="30"/>
      <c r="C419" s="30"/>
    </row>
    <row r="420" spans="2:3" ht="14.25" customHeight="1" x14ac:dyDescent="0.35">
      <c r="B420" s="30"/>
      <c r="C420" s="30"/>
    </row>
    <row r="421" spans="2:3" ht="14.25" customHeight="1" x14ac:dyDescent="0.35">
      <c r="B421" s="30"/>
      <c r="C421" s="30"/>
    </row>
    <row r="422" spans="2:3" ht="14.25" customHeight="1" x14ac:dyDescent="0.35">
      <c r="B422" s="30"/>
      <c r="C422" s="30"/>
    </row>
    <row r="423" spans="2:3" ht="14.25" customHeight="1" x14ac:dyDescent="0.35">
      <c r="B423" s="30"/>
      <c r="C423" s="30"/>
    </row>
    <row r="424" spans="2:3" ht="14.25" customHeight="1" x14ac:dyDescent="0.35">
      <c r="B424" s="30"/>
      <c r="C424" s="30"/>
    </row>
    <row r="425" spans="2:3" ht="14.25" customHeight="1" x14ac:dyDescent="0.35">
      <c r="B425" s="30"/>
      <c r="C425" s="30"/>
    </row>
    <row r="426" spans="2:3" ht="14.25" customHeight="1" x14ac:dyDescent="0.35">
      <c r="B426" s="30"/>
      <c r="C426" s="30"/>
    </row>
    <row r="427" spans="2:3" ht="14.25" customHeight="1" x14ac:dyDescent="0.35">
      <c r="B427" s="30"/>
      <c r="C427" s="30"/>
    </row>
    <row r="428" spans="2:3" ht="14.25" customHeight="1" x14ac:dyDescent="0.35">
      <c r="B428" s="30"/>
      <c r="C428" s="30"/>
    </row>
    <row r="429" spans="2:3" ht="14.25" customHeight="1" x14ac:dyDescent="0.35">
      <c r="B429" s="30"/>
      <c r="C429" s="30"/>
    </row>
    <row r="430" spans="2:3" ht="14.25" customHeight="1" x14ac:dyDescent="0.35">
      <c r="B430" s="30"/>
      <c r="C430" s="30"/>
    </row>
    <row r="431" spans="2:3" ht="14.25" customHeight="1" x14ac:dyDescent="0.35">
      <c r="B431" s="30"/>
      <c r="C431" s="30"/>
    </row>
    <row r="432" spans="2:3" ht="14.25" customHeight="1" x14ac:dyDescent="0.35">
      <c r="B432" s="30"/>
      <c r="C432" s="30"/>
    </row>
    <row r="433" spans="2:3" ht="14.25" customHeight="1" x14ac:dyDescent="0.35">
      <c r="B433" s="30"/>
      <c r="C433" s="30"/>
    </row>
    <row r="434" spans="2:3" ht="14.25" customHeight="1" x14ac:dyDescent="0.35">
      <c r="B434" s="30"/>
      <c r="C434" s="30"/>
    </row>
    <row r="435" spans="2:3" ht="14.25" customHeight="1" x14ac:dyDescent="0.35">
      <c r="B435" s="30"/>
      <c r="C435" s="30"/>
    </row>
    <row r="436" spans="2:3" ht="14.25" customHeight="1" x14ac:dyDescent="0.35">
      <c r="B436" s="30"/>
      <c r="C436" s="30"/>
    </row>
    <row r="437" spans="2:3" ht="14.25" customHeight="1" x14ac:dyDescent="0.35">
      <c r="B437" s="30"/>
      <c r="C437" s="30"/>
    </row>
    <row r="438" spans="2:3" ht="14.25" customHeight="1" x14ac:dyDescent="0.35">
      <c r="B438" s="30"/>
      <c r="C438" s="30"/>
    </row>
    <row r="439" spans="2:3" ht="14.25" customHeight="1" x14ac:dyDescent="0.35">
      <c r="B439" s="30"/>
      <c r="C439" s="30"/>
    </row>
    <row r="440" spans="2:3" ht="14.25" customHeight="1" x14ac:dyDescent="0.35">
      <c r="B440" s="30"/>
      <c r="C440" s="30"/>
    </row>
    <row r="441" spans="2:3" ht="14.25" customHeight="1" x14ac:dyDescent="0.35">
      <c r="B441" s="30"/>
      <c r="C441" s="30"/>
    </row>
    <row r="442" spans="2:3" ht="14.25" customHeight="1" x14ac:dyDescent="0.35">
      <c r="B442" s="30"/>
      <c r="C442" s="30"/>
    </row>
    <row r="443" spans="2:3" ht="14.25" customHeight="1" x14ac:dyDescent="0.35">
      <c r="B443" s="30"/>
      <c r="C443" s="30"/>
    </row>
    <row r="444" spans="2:3" ht="14.25" customHeight="1" x14ac:dyDescent="0.35">
      <c r="B444" s="30"/>
      <c r="C444" s="30"/>
    </row>
    <row r="445" spans="2:3" ht="14.25" customHeight="1" x14ac:dyDescent="0.35">
      <c r="B445" s="30"/>
      <c r="C445" s="30"/>
    </row>
    <row r="446" spans="2:3" ht="14.25" customHeight="1" x14ac:dyDescent="0.35">
      <c r="B446" s="30"/>
      <c r="C446" s="30"/>
    </row>
    <row r="447" spans="2:3" ht="14.25" customHeight="1" x14ac:dyDescent="0.35">
      <c r="B447" s="30"/>
      <c r="C447" s="30"/>
    </row>
    <row r="448" spans="2:3" ht="14.25" customHeight="1" x14ac:dyDescent="0.35">
      <c r="B448" s="30"/>
      <c r="C448" s="30"/>
    </row>
    <row r="449" spans="2:3" ht="14.25" customHeight="1" x14ac:dyDescent="0.35">
      <c r="B449" s="30"/>
      <c r="C449" s="30"/>
    </row>
    <row r="450" spans="2:3" ht="14.25" customHeight="1" x14ac:dyDescent="0.35">
      <c r="B450" s="30"/>
      <c r="C450" s="30"/>
    </row>
    <row r="451" spans="2:3" ht="14.25" customHeight="1" x14ac:dyDescent="0.35">
      <c r="B451" s="30"/>
      <c r="C451" s="30"/>
    </row>
    <row r="452" spans="2:3" ht="14.25" customHeight="1" x14ac:dyDescent="0.35">
      <c r="B452" s="30"/>
      <c r="C452" s="30"/>
    </row>
    <row r="453" spans="2:3" ht="14.25" customHeight="1" x14ac:dyDescent="0.35">
      <c r="B453" s="30"/>
      <c r="C453" s="30"/>
    </row>
    <row r="454" spans="2:3" ht="14.25" customHeight="1" x14ac:dyDescent="0.35">
      <c r="B454" s="30"/>
      <c r="C454" s="30"/>
    </row>
    <row r="455" spans="2:3" ht="14.25" customHeight="1" x14ac:dyDescent="0.35">
      <c r="B455" s="30"/>
      <c r="C455" s="30"/>
    </row>
    <row r="456" spans="2:3" ht="14.25" customHeight="1" x14ac:dyDescent="0.35">
      <c r="B456" s="30"/>
      <c r="C456" s="30"/>
    </row>
    <row r="457" spans="2:3" ht="14.25" customHeight="1" x14ac:dyDescent="0.35">
      <c r="B457" s="30"/>
      <c r="C457" s="30"/>
    </row>
    <row r="458" spans="2:3" ht="14.25" customHeight="1" x14ac:dyDescent="0.35">
      <c r="B458" s="30"/>
      <c r="C458" s="30"/>
    </row>
    <row r="459" spans="2:3" ht="14.25" customHeight="1" x14ac:dyDescent="0.35">
      <c r="B459" s="30"/>
      <c r="C459" s="30"/>
    </row>
    <row r="460" spans="2:3" ht="14.25" customHeight="1" x14ac:dyDescent="0.35">
      <c r="B460" s="30"/>
      <c r="C460" s="30"/>
    </row>
    <row r="461" spans="2:3" ht="14.25" customHeight="1" x14ac:dyDescent="0.35">
      <c r="B461" s="30"/>
      <c r="C461" s="30"/>
    </row>
    <row r="462" spans="2:3" ht="14.25" customHeight="1" x14ac:dyDescent="0.35">
      <c r="B462" s="30"/>
      <c r="C462" s="30"/>
    </row>
    <row r="463" spans="2:3" ht="14.25" customHeight="1" x14ac:dyDescent="0.35">
      <c r="B463" s="30"/>
      <c r="C463" s="30"/>
    </row>
    <row r="464" spans="2:3" ht="14.25" customHeight="1" x14ac:dyDescent="0.35">
      <c r="B464" s="30"/>
      <c r="C464" s="30"/>
    </row>
    <row r="465" spans="2:3" ht="14.25" customHeight="1" x14ac:dyDescent="0.35">
      <c r="B465" s="30"/>
      <c r="C465" s="30"/>
    </row>
    <row r="466" spans="2:3" ht="14.25" customHeight="1" x14ac:dyDescent="0.35">
      <c r="B466" s="30"/>
      <c r="C466" s="30"/>
    </row>
    <row r="467" spans="2:3" ht="14.25" customHeight="1" x14ac:dyDescent="0.35">
      <c r="B467" s="30"/>
      <c r="C467" s="30"/>
    </row>
    <row r="468" spans="2:3" ht="14.25" customHeight="1" x14ac:dyDescent="0.35">
      <c r="B468" s="30"/>
      <c r="C468" s="30"/>
    </row>
    <row r="469" spans="2:3" ht="14.25" customHeight="1" x14ac:dyDescent="0.35">
      <c r="B469" s="30"/>
      <c r="C469" s="30"/>
    </row>
    <row r="470" spans="2:3" ht="14.25" customHeight="1" x14ac:dyDescent="0.35">
      <c r="B470" s="30"/>
      <c r="C470" s="30"/>
    </row>
    <row r="471" spans="2:3" ht="14.25" customHeight="1" x14ac:dyDescent="0.35">
      <c r="B471" s="30"/>
      <c r="C471" s="30"/>
    </row>
    <row r="472" spans="2:3" ht="14.25" customHeight="1" x14ac:dyDescent="0.35">
      <c r="B472" s="30"/>
      <c r="C472" s="30"/>
    </row>
    <row r="473" spans="2:3" ht="14.25" customHeight="1" x14ac:dyDescent="0.35">
      <c r="B473" s="30"/>
      <c r="C473" s="30"/>
    </row>
    <row r="474" spans="2:3" ht="14.25" customHeight="1" x14ac:dyDescent="0.35">
      <c r="B474" s="30"/>
      <c r="C474" s="30"/>
    </row>
    <row r="475" spans="2:3" ht="14.25" customHeight="1" x14ac:dyDescent="0.35">
      <c r="B475" s="30"/>
      <c r="C475" s="30"/>
    </row>
    <row r="476" spans="2:3" ht="14.25" customHeight="1" x14ac:dyDescent="0.35">
      <c r="B476" s="30"/>
      <c r="C476" s="30"/>
    </row>
    <row r="477" spans="2:3" ht="14.25" customHeight="1" x14ac:dyDescent="0.35">
      <c r="B477" s="30"/>
      <c r="C477" s="30"/>
    </row>
    <row r="478" spans="2:3" ht="14.25" customHeight="1" x14ac:dyDescent="0.35">
      <c r="B478" s="30"/>
      <c r="C478" s="30"/>
    </row>
    <row r="479" spans="2:3" ht="14.25" customHeight="1" x14ac:dyDescent="0.35">
      <c r="B479" s="30"/>
      <c r="C479" s="30"/>
    </row>
    <row r="480" spans="2:3" ht="14.25" customHeight="1" x14ac:dyDescent="0.35">
      <c r="B480" s="30"/>
      <c r="C480" s="30"/>
    </row>
    <row r="481" spans="2:3" ht="14.25" customHeight="1" x14ac:dyDescent="0.35">
      <c r="B481" s="30"/>
      <c r="C481" s="30"/>
    </row>
    <row r="482" spans="2:3" ht="14.25" customHeight="1" x14ac:dyDescent="0.35">
      <c r="B482" s="30"/>
      <c r="C482" s="30"/>
    </row>
    <row r="483" spans="2:3" ht="14.25" customHeight="1" x14ac:dyDescent="0.35">
      <c r="B483" s="30"/>
      <c r="C483" s="30"/>
    </row>
    <row r="484" spans="2:3" ht="14.25" customHeight="1" x14ac:dyDescent="0.35">
      <c r="B484" s="30"/>
      <c r="C484" s="30"/>
    </row>
    <row r="485" spans="2:3" ht="14.25" customHeight="1" x14ac:dyDescent="0.35">
      <c r="B485" s="30"/>
      <c r="C485" s="30"/>
    </row>
    <row r="486" spans="2:3" ht="14.25" customHeight="1" x14ac:dyDescent="0.35">
      <c r="B486" s="30"/>
      <c r="C486" s="30"/>
    </row>
    <row r="487" spans="2:3" ht="14.25" customHeight="1" x14ac:dyDescent="0.35">
      <c r="B487" s="30"/>
      <c r="C487" s="30"/>
    </row>
    <row r="488" spans="2:3" ht="14.25" customHeight="1" x14ac:dyDescent="0.35">
      <c r="B488" s="30"/>
      <c r="C488" s="30"/>
    </row>
    <row r="489" spans="2:3" ht="14.25" customHeight="1" x14ac:dyDescent="0.35">
      <c r="B489" s="30"/>
      <c r="C489" s="30"/>
    </row>
    <row r="490" spans="2:3" ht="14.25" customHeight="1" x14ac:dyDescent="0.35">
      <c r="B490" s="30"/>
      <c r="C490" s="30"/>
    </row>
    <row r="491" spans="2:3" ht="14.25" customHeight="1" x14ac:dyDescent="0.35">
      <c r="B491" s="30"/>
      <c r="C491" s="30"/>
    </row>
    <row r="492" spans="2:3" ht="14.25" customHeight="1" x14ac:dyDescent="0.35">
      <c r="B492" s="30"/>
      <c r="C492" s="30"/>
    </row>
    <row r="493" spans="2:3" ht="14.25" customHeight="1" x14ac:dyDescent="0.35">
      <c r="B493" s="30"/>
      <c r="C493" s="30"/>
    </row>
    <row r="494" spans="2:3" ht="14.25" customHeight="1" x14ac:dyDescent="0.35">
      <c r="B494" s="30"/>
      <c r="C494" s="30"/>
    </row>
    <row r="495" spans="2:3" ht="14.25" customHeight="1" x14ac:dyDescent="0.35">
      <c r="B495" s="30"/>
      <c r="C495" s="30"/>
    </row>
    <row r="496" spans="2:3" ht="14.25" customHeight="1" x14ac:dyDescent="0.35">
      <c r="B496" s="30"/>
      <c r="C496" s="30"/>
    </row>
    <row r="497" spans="2:3" ht="14.25" customHeight="1" x14ac:dyDescent="0.35">
      <c r="B497" s="30"/>
      <c r="C497" s="30"/>
    </row>
    <row r="498" spans="2:3" ht="14.25" customHeight="1" x14ac:dyDescent="0.35">
      <c r="B498" s="30"/>
      <c r="C498" s="30"/>
    </row>
    <row r="499" spans="2:3" ht="14.25" customHeight="1" x14ac:dyDescent="0.35">
      <c r="B499" s="30"/>
      <c r="C499" s="30"/>
    </row>
    <row r="500" spans="2:3" ht="14.25" customHeight="1" x14ac:dyDescent="0.35">
      <c r="B500" s="30"/>
      <c r="C500" s="30"/>
    </row>
    <row r="501" spans="2:3" ht="14.25" customHeight="1" x14ac:dyDescent="0.35">
      <c r="B501" s="30"/>
      <c r="C501" s="30"/>
    </row>
    <row r="502" spans="2:3" ht="14.25" customHeight="1" x14ac:dyDescent="0.35">
      <c r="B502" s="30"/>
      <c r="C502" s="30"/>
    </row>
    <row r="503" spans="2:3" ht="14.25" customHeight="1" x14ac:dyDescent="0.35">
      <c r="B503" s="30"/>
      <c r="C503" s="30"/>
    </row>
    <row r="504" spans="2:3" ht="14.25" customHeight="1" x14ac:dyDescent="0.35">
      <c r="B504" s="30"/>
      <c r="C504" s="30"/>
    </row>
    <row r="505" spans="2:3" ht="14.25" customHeight="1" x14ac:dyDescent="0.35">
      <c r="B505" s="30"/>
      <c r="C505" s="30"/>
    </row>
    <row r="506" spans="2:3" ht="14.25" customHeight="1" x14ac:dyDescent="0.35">
      <c r="B506" s="30"/>
      <c r="C506" s="30"/>
    </row>
    <row r="507" spans="2:3" ht="14.25" customHeight="1" x14ac:dyDescent="0.35">
      <c r="B507" s="30"/>
      <c r="C507" s="30"/>
    </row>
    <row r="508" spans="2:3" ht="14.25" customHeight="1" x14ac:dyDescent="0.35">
      <c r="B508" s="30"/>
      <c r="C508" s="30"/>
    </row>
    <row r="509" spans="2:3" ht="14.25" customHeight="1" x14ac:dyDescent="0.35">
      <c r="B509" s="30"/>
      <c r="C509" s="30"/>
    </row>
    <row r="510" spans="2:3" ht="14.25" customHeight="1" x14ac:dyDescent="0.35">
      <c r="B510" s="30"/>
      <c r="C510" s="30"/>
    </row>
    <row r="511" spans="2:3" ht="14.25" customHeight="1" x14ac:dyDescent="0.35">
      <c r="B511" s="30"/>
      <c r="C511" s="30"/>
    </row>
    <row r="512" spans="2:3" ht="14.25" customHeight="1" x14ac:dyDescent="0.35">
      <c r="B512" s="30"/>
      <c r="C512" s="30"/>
    </row>
    <row r="513" spans="2:3" ht="14.25" customHeight="1" x14ac:dyDescent="0.35">
      <c r="B513" s="30"/>
      <c r="C513" s="30"/>
    </row>
    <row r="514" spans="2:3" ht="14.25" customHeight="1" x14ac:dyDescent="0.35">
      <c r="B514" s="30"/>
      <c r="C514" s="30"/>
    </row>
    <row r="515" spans="2:3" ht="14.25" customHeight="1" x14ac:dyDescent="0.35">
      <c r="B515" s="30"/>
      <c r="C515" s="30"/>
    </row>
    <row r="516" spans="2:3" ht="14.25" customHeight="1" x14ac:dyDescent="0.35">
      <c r="B516" s="30"/>
      <c r="C516" s="30"/>
    </row>
    <row r="517" spans="2:3" ht="14.25" customHeight="1" x14ac:dyDescent="0.35">
      <c r="B517" s="30"/>
      <c r="C517" s="30"/>
    </row>
    <row r="518" spans="2:3" ht="14.25" customHeight="1" x14ac:dyDescent="0.35">
      <c r="B518" s="30"/>
      <c r="C518" s="30"/>
    </row>
    <row r="519" spans="2:3" ht="14.25" customHeight="1" x14ac:dyDescent="0.35">
      <c r="B519" s="30"/>
      <c r="C519" s="30"/>
    </row>
    <row r="520" spans="2:3" ht="14.25" customHeight="1" x14ac:dyDescent="0.35">
      <c r="B520" s="30"/>
      <c r="C520" s="30"/>
    </row>
    <row r="521" spans="2:3" ht="14.25" customHeight="1" x14ac:dyDescent="0.35">
      <c r="B521" s="30"/>
      <c r="C521" s="30"/>
    </row>
    <row r="522" spans="2:3" ht="14.25" customHeight="1" x14ac:dyDescent="0.35">
      <c r="B522" s="30"/>
      <c r="C522" s="30"/>
    </row>
    <row r="523" spans="2:3" ht="14.25" customHeight="1" x14ac:dyDescent="0.35">
      <c r="B523" s="30"/>
      <c r="C523" s="30"/>
    </row>
    <row r="524" spans="2:3" ht="14.25" customHeight="1" x14ac:dyDescent="0.35">
      <c r="B524" s="30"/>
      <c r="C524" s="30"/>
    </row>
    <row r="525" spans="2:3" ht="14.25" customHeight="1" x14ac:dyDescent="0.35">
      <c r="B525" s="30"/>
      <c r="C525" s="30"/>
    </row>
    <row r="526" spans="2:3" ht="14.25" customHeight="1" x14ac:dyDescent="0.35">
      <c r="B526" s="30"/>
      <c r="C526" s="30"/>
    </row>
    <row r="527" spans="2:3" ht="14.25" customHeight="1" x14ac:dyDescent="0.35">
      <c r="B527" s="30"/>
      <c r="C527" s="30"/>
    </row>
    <row r="528" spans="2:3" ht="14.25" customHeight="1" x14ac:dyDescent="0.35">
      <c r="B528" s="30"/>
      <c r="C528" s="30"/>
    </row>
    <row r="529" spans="2:3" ht="14.25" customHeight="1" x14ac:dyDescent="0.35">
      <c r="B529" s="30"/>
      <c r="C529" s="30"/>
    </row>
    <row r="530" spans="2:3" ht="14.25" customHeight="1" x14ac:dyDescent="0.35">
      <c r="B530" s="30"/>
      <c r="C530" s="30"/>
    </row>
    <row r="531" spans="2:3" ht="14.25" customHeight="1" x14ac:dyDescent="0.35">
      <c r="B531" s="30"/>
      <c r="C531" s="30"/>
    </row>
    <row r="532" spans="2:3" ht="14.25" customHeight="1" x14ac:dyDescent="0.35">
      <c r="B532" s="30"/>
      <c r="C532" s="30"/>
    </row>
    <row r="533" spans="2:3" ht="14.25" customHeight="1" x14ac:dyDescent="0.35">
      <c r="B533" s="30"/>
      <c r="C533" s="30"/>
    </row>
    <row r="534" spans="2:3" ht="14.25" customHeight="1" x14ac:dyDescent="0.35">
      <c r="B534" s="30"/>
      <c r="C534" s="30"/>
    </row>
    <row r="535" spans="2:3" ht="14.25" customHeight="1" x14ac:dyDescent="0.35">
      <c r="B535" s="30"/>
      <c r="C535" s="30"/>
    </row>
    <row r="536" spans="2:3" ht="14.25" customHeight="1" x14ac:dyDescent="0.35">
      <c r="B536" s="30"/>
      <c r="C536" s="30"/>
    </row>
    <row r="537" spans="2:3" ht="14.25" customHeight="1" x14ac:dyDescent="0.35">
      <c r="B537" s="30"/>
      <c r="C537" s="30"/>
    </row>
    <row r="538" spans="2:3" ht="14.25" customHeight="1" x14ac:dyDescent="0.35">
      <c r="B538" s="30"/>
      <c r="C538" s="30"/>
    </row>
    <row r="539" spans="2:3" ht="14.25" customHeight="1" x14ac:dyDescent="0.35">
      <c r="B539" s="30"/>
      <c r="C539" s="30"/>
    </row>
    <row r="540" spans="2:3" ht="14.25" customHeight="1" x14ac:dyDescent="0.35">
      <c r="B540" s="30"/>
      <c r="C540" s="30"/>
    </row>
    <row r="541" spans="2:3" ht="14.25" customHeight="1" x14ac:dyDescent="0.35">
      <c r="B541" s="30"/>
      <c r="C541" s="30"/>
    </row>
    <row r="542" spans="2:3" ht="14.25" customHeight="1" x14ac:dyDescent="0.35">
      <c r="B542" s="30"/>
      <c r="C542" s="30"/>
    </row>
    <row r="543" spans="2:3" ht="14.25" customHeight="1" x14ac:dyDescent="0.35">
      <c r="B543" s="30"/>
      <c r="C543" s="30"/>
    </row>
    <row r="544" spans="2:3" ht="14.25" customHeight="1" x14ac:dyDescent="0.35">
      <c r="B544" s="30"/>
      <c r="C544" s="30"/>
    </row>
    <row r="545" spans="2:3" ht="14.25" customHeight="1" x14ac:dyDescent="0.35">
      <c r="B545" s="30"/>
      <c r="C545" s="30"/>
    </row>
    <row r="546" spans="2:3" ht="14.25" customHeight="1" x14ac:dyDescent="0.35">
      <c r="B546" s="30"/>
      <c r="C546" s="30"/>
    </row>
    <row r="547" spans="2:3" ht="14.25" customHeight="1" x14ac:dyDescent="0.35">
      <c r="B547" s="30"/>
      <c r="C547" s="30"/>
    </row>
    <row r="548" spans="2:3" ht="14.25" customHeight="1" x14ac:dyDescent="0.35">
      <c r="B548" s="30"/>
      <c r="C548" s="30"/>
    </row>
    <row r="549" spans="2:3" ht="14.25" customHeight="1" x14ac:dyDescent="0.35">
      <c r="B549" s="30"/>
      <c r="C549" s="30"/>
    </row>
    <row r="550" spans="2:3" ht="14.25" customHeight="1" x14ac:dyDescent="0.35">
      <c r="B550" s="30"/>
      <c r="C550" s="30"/>
    </row>
    <row r="551" spans="2:3" ht="14.25" customHeight="1" x14ac:dyDescent="0.35">
      <c r="B551" s="30"/>
      <c r="C551" s="30"/>
    </row>
    <row r="552" spans="2:3" ht="14.25" customHeight="1" x14ac:dyDescent="0.35">
      <c r="B552" s="30"/>
      <c r="C552" s="30"/>
    </row>
    <row r="553" spans="2:3" ht="14.25" customHeight="1" x14ac:dyDescent="0.35">
      <c r="B553" s="30"/>
      <c r="C553" s="30"/>
    </row>
    <row r="554" spans="2:3" ht="14.25" customHeight="1" x14ac:dyDescent="0.35">
      <c r="B554" s="30"/>
      <c r="C554" s="30"/>
    </row>
    <row r="555" spans="2:3" ht="14.25" customHeight="1" x14ac:dyDescent="0.35">
      <c r="B555" s="30"/>
      <c r="C555" s="30"/>
    </row>
    <row r="556" spans="2:3" ht="14.25" customHeight="1" x14ac:dyDescent="0.35">
      <c r="B556" s="30"/>
      <c r="C556" s="30"/>
    </row>
    <row r="557" spans="2:3" ht="14.25" customHeight="1" x14ac:dyDescent="0.35">
      <c r="B557" s="30"/>
      <c r="C557" s="30"/>
    </row>
    <row r="558" spans="2:3" ht="14.25" customHeight="1" x14ac:dyDescent="0.35">
      <c r="B558" s="30"/>
      <c r="C558" s="30"/>
    </row>
    <row r="559" spans="2:3" ht="14.25" customHeight="1" x14ac:dyDescent="0.35">
      <c r="B559" s="30"/>
      <c r="C559" s="30"/>
    </row>
    <row r="560" spans="2:3" ht="14.25" customHeight="1" x14ac:dyDescent="0.35">
      <c r="B560" s="30"/>
      <c r="C560" s="30"/>
    </row>
    <row r="561" spans="2:3" ht="14.25" customHeight="1" x14ac:dyDescent="0.35">
      <c r="B561" s="30"/>
      <c r="C561" s="30"/>
    </row>
    <row r="562" spans="2:3" ht="14.25" customHeight="1" x14ac:dyDescent="0.35">
      <c r="B562" s="30"/>
      <c r="C562" s="30"/>
    </row>
    <row r="563" spans="2:3" ht="14.25" customHeight="1" x14ac:dyDescent="0.35">
      <c r="B563" s="30"/>
      <c r="C563" s="30"/>
    </row>
    <row r="564" spans="2:3" ht="14.25" customHeight="1" x14ac:dyDescent="0.35">
      <c r="B564" s="30"/>
      <c r="C564" s="30"/>
    </row>
    <row r="565" spans="2:3" ht="14.25" customHeight="1" x14ac:dyDescent="0.35">
      <c r="B565" s="30"/>
      <c r="C565" s="30"/>
    </row>
    <row r="566" spans="2:3" ht="14.25" customHeight="1" x14ac:dyDescent="0.35">
      <c r="B566" s="30"/>
      <c r="C566" s="30"/>
    </row>
    <row r="567" spans="2:3" ht="14.25" customHeight="1" x14ac:dyDescent="0.35">
      <c r="B567" s="30"/>
      <c r="C567" s="30"/>
    </row>
    <row r="568" spans="2:3" ht="14.25" customHeight="1" x14ac:dyDescent="0.35">
      <c r="B568" s="30"/>
      <c r="C568" s="30"/>
    </row>
    <row r="569" spans="2:3" ht="14.25" customHeight="1" x14ac:dyDescent="0.35">
      <c r="B569" s="30"/>
      <c r="C569" s="30"/>
    </row>
    <row r="570" spans="2:3" ht="14.25" customHeight="1" x14ac:dyDescent="0.35">
      <c r="B570" s="30"/>
      <c r="C570" s="30"/>
    </row>
    <row r="571" spans="2:3" ht="14.25" customHeight="1" x14ac:dyDescent="0.35">
      <c r="B571" s="30"/>
      <c r="C571" s="30"/>
    </row>
    <row r="572" spans="2:3" ht="14.25" customHeight="1" x14ac:dyDescent="0.35">
      <c r="B572" s="30"/>
      <c r="C572" s="30"/>
    </row>
    <row r="573" spans="2:3" ht="14.25" customHeight="1" x14ac:dyDescent="0.35">
      <c r="B573" s="30"/>
      <c r="C573" s="30"/>
    </row>
    <row r="574" spans="2:3" ht="14.25" customHeight="1" x14ac:dyDescent="0.35">
      <c r="B574" s="30"/>
      <c r="C574" s="30"/>
    </row>
    <row r="575" spans="2:3" ht="14.25" customHeight="1" x14ac:dyDescent="0.35">
      <c r="B575" s="30"/>
      <c r="C575" s="30"/>
    </row>
    <row r="576" spans="2:3" ht="14.25" customHeight="1" x14ac:dyDescent="0.35">
      <c r="B576" s="30"/>
      <c r="C576" s="30"/>
    </row>
    <row r="577" spans="2:3" ht="14.25" customHeight="1" x14ac:dyDescent="0.35">
      <c r="B577" s="30"/>
      <c r="C577" s="30"/>
    </row>
    <row r="578" spans="2:3" ht="14.25" customHeight="1" x14ac:dyDescent="0.35">
      <c r="B578" s="30"/>
      <c r="C578" s="30"/>
    </row>
    <row r="579" spans="2:3" ht="14.25" customHeight="1" x14ac:dyDescent="0.35">
      <c r="B579" s="30"/>
      <c r="C579" s="30"/>
    </row>
    <row r="580" spans="2:3" ht="14.25" customHeight="1" x14ac:dyDescent="0.35">
      <c r="B580" s="30"/>
      <c r="C580" s="30"/>
    </row>
    <row r="581" spans="2:3" ht="14.25" customHeight="1" x14ac:dyDescent="0.35">
      <c r="B581" s="30"/>
      <c r="C581" s="30"/>
    </row>
    <row r="582" spans="2:3" ht="14.25" customHeight="1" x14ac:dyDescent="0.35">
      <c r="B582" s="30"/>
      <c r="C582" s="30"/>
    </row>
    <row r="583" spans="2:3" ht="14.25" customHeight="1" x14ac:dyDescent="0.35">
      <c r="B583" s="30"/>
      <c r="C583" s="30"/>
    </row>
    <row r="584" spans="2:3" ht="14.25" customHeight="1" x14ac:dyDescent="0.35">
      <c r="B584" s="30"/>
      <c r="C584" s="30"/>
    </row>
    <row r="585" spans="2:3" ht="14.25" customHeight="1" x14ac:dyDescent="0.35">
      <c r="B585" s="30"/>
      <c r="C585" s="30"/>
    </row>
    <row r="586" spans="2:3" ht="14.25" customHeight="1" x14ac:dyDescent="0.35">
      <c r="B586" s="30"/>
      <c r="C586" s="30"/>
    </row>
    <row r="587" spans="2:3" ht="14.25" customHeight="1" x14ac:dyDescent="0.35">
      <c r="B587" s="30"/>
      <c r="C587" s="30"/>
    </row>
    <row r="588" spans="2:3" ht="14.25" customHeight="1" x14ac:dyDescent="0.35">
      <c r="B588" s="30"/>
      <c r="C588" s="30"/>
    </row>
    <row r="589" spans="2:3" ht="14.25" customHeight="1" x14ac:dyDescent="0.35">
      <c r="B589" s="30"/>
      <c r="C589" s="30"/>
    </row>
    <row r="590" spans="2:3" ht="14.25" customHeight="1" x14ac:dyDescent="0.35">
      <c r="B590" s="30"/>
      <c r="C590" s="30"/>
    </row>
    <row r="591" spans="2:3" ht="14.25" customHeight="1" x14ac:dyDescent="0.35">
      <c r="B591" s="30"/>
      <c r="C591" s="30"/>
    </row>
    <row r="592" spans="2:3" ht="14.25" customHeight="1" x14ac:dyDescent="0.35">
      <c r="B592" s="30"/>
      <c r="C592" s="30"/>
    </row>
    <row r="593" spans="2:3" ht="14.25" customHeight="1" x14ac:dyDescent="0.35">
      <c r="B593" s="30"/>
      <c r="C593" s="30"/>
    </row>
    <row r="594" spans="2:3" ht="14.25" customHeight="1" x14ac:dyDescent="0.35">
      <c r="B594" s="30"/>
      <c r="C594" s="30"/>
    </row>
    <row r="595" spans="2:3" ht="14.25" customHeight="1" x14ac:dyDescent="0.35">
      <c r="B595" s="30"/>
      <c r="C595" s="30"/>
    </row>
    <row r="596" spans="2:3" ht="14.25" customHeight="1" x14ac:dyDescent="0.35">
      <c r="B596" s="30"/>
      <c r="C596" s="30"/>
    </row>
    <row r="597" spans="2:3" ht="14.25" customHeight="1" x14ac:dyDescent="0.35">
      <c r="B597" s="30"/>
      <c r="C597" s="30"/>
    </row>
    <row r="598" spans="2:3" ht="14.25" customHeight="1" x14ac:dyDescent="0.35">
      <c r="B598" s="30"/>
      <c r="C598" s="30"/>
    </row>
    <row r="599" spans="2:3" ht="14.25" customHeight="1" x14ac:dyDescent="0.35">
      <c r="B599" s="30"/>
      <c r="C599" s="30"/>
    </row>
    <row r="600" spans="2:3" ht="14.25" customHeight="1" x14ac:dyDescent="0.35">
      <c r="B600" s="30"/>
      <c r="C600" s="30"/>
    </row>
    <row r="601" spans="2:3" ht="14.25" customHeight="1" x14ac:dyDescent="0.35">
      <c r="B601" s="30"/>
      <c r="C601" s="30"/>
    </row>
    <row r="602" spans="2:3" ht="14.25" customHeight="1" x14ac:dyDescent="0.35">
      <c r="B602" s="30"/>
      <c r="C602" s="30"/>
    </row>
    <row r="603" spans="2:3" ht="14.25" customHeight="1" x14ac:dyDescent="0.35">
      <c r="B603" s="30"/>
      <c r="C603" s="30"/>
    </row>
    <row r="604" spans="2:3" ht="14.25" customHeight="1" x14ac:dyDescent="0.35">
      <c r="B604" s="30"/>
      <c r="C604" s="30"/>
    </row>
    <row r="605" spans="2:3" ht="14.25" customHeight="1" x14ac:dyDescent="0.35">
      <c r="B605" s="30"/>
      <c r="C605" s="30"/>
    </row>
    <row r="606" spans="2:3" ht="14.25" customHeight="1" x14ac:dyDescent="0.35">
      <c r="B606" s="30"/>
      <c r="C606" s="30"/>
    </row>
    <row r="607" spans="2:3" ht="14.25" customHeight="1" x14ac:dyDescent="0.35">
      <c r="B607" s="30"/>
      <c r="C607" s="30"/>
    </row>
    <row r="608" spans="2:3" ht="14.25" customHeight="1" x14ac:dyDescent="0.35">
      <c r="B608" s="30"/>
      <c r="C608" s="30"/>
    </row>
    <row r="609" spans="2:3" ht="14.25" customHeight="1" x14ac:dyDescent="0.35">
      <c r="B609" s="30"/>
      <c r="C609" s="30"/>
    </row>
    <row r="610" spans="2:3" ht="14.25" customHeight="1" x14ac:dyDescent="0.35">
      <c r="B610" s="30"/>
      <c r="C610" s="30"/>
    </row>
    <row r="611" spans="2:3" ht="14.25" customHeight="1" x14ac:dyDescent="0.35">
      <c r="B611" s="30"/>
      <c r="C611" s="30"/>
    </row>
    <row r="612" spans="2:3" ht="14.25" customHeight="1" x14ac:dyDescent="0.35">
      <c r="B612" s="30"/>
      <c r="C612" s="30"/>
    </row>
    <row r="613" spans="2:3" ht="14.25" customHeight="1" x14ac:dyDescent="0.35">
      <c r="B613" s="30"/>
      <c r="C613" s="30"/>
    </row>
    <row r="614" spans="2:3" ht="14.25" customHeight="1" x14ac:dyDescent="0.35">
      <c r="B614" s="30"/>
      <c r="C614" s="30"/>
    </row>
    <row r="615" spans="2:3" ht="14.25" customHeight="1" x14ac:dyDescent="0.35">
      <c r="B615" s="30"/>
      <c r="C615" s="30"/>
    </row>
    <row r="616" spans="2:3" ht="14.25" customHeight="1" x14ac:dyDescent="0.35">
      <c r="B616" s="30"/>
      <c r="C616" s="30"/>
    </row>
    <row r="617" spans="2:3" ht="14.25" customHeight="1" x14ac:dyDescent="0.35">
      <c r="B617" s="30"/>
      <c r="C617" s="30"/>
    </row>
    <row r="618" spans="2:3" ht="14.25" customHeight="1" x14ac:dyDescent="0.35">
      <c r="B618" s="30"/>
      <c r="C618" s="30"/>
    </row>
    <row r="619" spans="2:3" ht="14.25" customHeight="1" x14ac:dyDescent="0.35">
      <c r="B619" s="30"/>
      <c r="C619" s="30"/>
    </row>
    <row r="620" spans="2:3" ht="14.25" customHeight="1" x14ac:dyDescent="0.35">
      <c r="B620" s="30"/>
      <c r="C620" s="30"/>
    </row>
    <row r="621" spans="2:3" ht="14.25" customHeight="1" x14ac:dyDescent="0.35">
      <c r="B621" s="30"/>
      <c r="C621" s="30"/>
    </row>
    <row r="622" spans="2:3" ht="14.25" customHeight="1" x14ac:dyDescent="0.35">
      <c r="B622" s="30"/>
      <c r="C622" s="30"/>
    </row>
    <row r="623" spans="2:3" ht="14.25" customHeight="1" x14ac:dyDescent="0.35">
      <c r="B623" s="30"/>
      <c r="C623" s="30"/>
    </row>
    <row r="624" spans="2:3" ht="14.25" customHeight="1" x14ac:dyDescent="0.35">
      <c r="B624" s="30"/>
      <c r="C624" s="30"/>
    </row>
    <row r="625" spans="2:3" ht="14.25" customHeight="1" x14ac:dyDescent="0.35">
      <c r="B625" s="30"/>
      <c r="C625" s="30"/>
    </row>
    <row r="626" spans="2:3" ht="14.25" customHeight="1" x14ac:dyDescent="0.35">
      <c r="B626" s="30"/>
      <c r="C626" s="30"/>
    </row>
    <row r="627" spans="2:3" ht="14.25" customHeight="1" x14ac:dyDescent="0.35">
      <c r="B627" s="30"/>
      <c r="C627" s="30"/>
    </row>
    <row r="628" spans="2:3" ht="14.25" customHeight="1" x14ac:dyDescent="0.35">
      <c r="B628" s="30"/>
      <c r="C628" s="30"/>
    </row>
    <row r="629" spans="2:3" ht="14.25" customHeight="1" x14ac:dyDescent="0.35">
      <c r="B629" s="30"/>
      <c r="C629" s="30"/>
    </row>
    <row r="630" spans="2:3" ht="14.25" customHeight="1" x14ac:dyDescent="0.35">
      <c r="B630" s="30"/>
      <c r="C630" s="30"/>
    </row>
    <row r="631" spans="2:3" ht="14.25" customHeight="1" x14ac:dyDescent="0.35">
      <c r="B631" s="30"/>
      <c r="C631" s="30"/>
    </row>
    <row r="632" spans="2:3" ht="14.25" customHeight="1" x14ac:dyDescent="0.35">
      <c r="B632" s="30"/>
      <c r="C632" s="30"/>
    </row>
    <row r="633" spans="2:3" ht="14.25" customHeight="1" x14ac:dyDescent="0.35">
      <c r="B633" s="30"/>
      <c r="C633" s="30"/>
    </row>
    <row r="634" spans="2:3" ht="14.25" customHeight="1" x14ac:dyDescent="0.35">
      <c r="B634" s="30"/>
      <c r="C634" s="30"/>
    </row>
    <row r="635" spans="2:3" ht="14.25" customHeight="1" x14ac:dyDescent="0.35">
      <c r="B635" s="30"/>
      <c r="C635" s="30"/>
    </row>
    <row r="636" spans="2:3" ht="14.25" customHeight="1" x14ac:dyDescent="0.35">
      <c r="B636" s="30"/>
      <c r="C636" s="30"/>
    </row>
    <row r="637" spans="2:3" ht="14.25" customHeight="1" x14ac:dyDescent="0.35">
      <c r="B637" s="30"/>
      <c r="C637" s="30"/>
    </row>
    <row r="638" spans="2:3" ht="14.25" customHeight="1" x14ac:dyDescent="0.35">
      <c r="B638" s="30"/>
      <c r="C638" s="30"/>
    </row>
    <row r="639" spans="2:3" ht="14.25" customHeight="1" x14ac:dyDescent="0.35">
      <c r="B639" s="30"/>
      <c r="C639" s="30"/>
    </row>
    <row r="640" spans="2:3" ht="14.25" customHeight="1" x14ac:dyDescent="0.35">
      <c r="B640" s="30"/>
      <c r="C640" s="30"/>
    </row>
    <row r="641" spans="2:3" ht="14.25" customHeight="1" x14ac:dyDescent="0.35">
      <c r="B641" s="30"/>
      <c r="C641" s="30"/>
    </row>
    <row r="642" spans="2:3" ht="14.25" customHeight="1" x14ac:dyDescent="0.35">
      <c r="B642" s="30"/>
      <c r="C642" s="30"/>
    </row>
    <row r="643" spans="2:3" ht="14.25" customHeight="1" x14ac:dyDescent="0.35">
      <c r="B643" s="30"/>
      <c r="C643" s="30"/>
    </row>
    <row r="644" spans="2:3" ht="14.25" customHeight="1" x14ac:dyDescent="0.35">
      <c r="B644" s="30"/>
      <c r="C644" s="30"/>
    </row>
    <row r="645" spans="2:3" ht="14.25" customHeight="1" x14ac:dyDescent="0.35">
      <c r="B645" s="30"/>
      <c r="C645" s="30"/>
    </row>
    <row r="646" spans="2:3" ht="14.25" customHeight="1" x14ac:dyDescent="0.35">
      <c r="B646" s="30"/>
      <c r="C646" s="30"/>
    </row>
    <row r="647" spans="2:3" ht="14.25" customHeight="1" x14ac:dyDescent="0.35">
      <c r="B647" s="30"/>
      <c r="C647" s="30"/>
    </row>
    <row r="648" spans="2:3" ht="14.25" customHeight="1" x14ac:dyDescent="0.35">
      <c r="B648" s="30"/>
      <c r="C648" s="30"/>
    </row>
    <row r="649" spans="2:3" ht="14.25" customHeight="1" x14ac:dyDescent="0.35">
      <c r="B649" s="30"/>
      <c r="C649" s="30"/>
    </row>
    <row r="650" spans="2:3" ht="14.25" customHeight="1" x14ac:dyDescent="0.35">
      <c r="B650" s="30"/>
      <c r="C650" s="30"/>
    </row>
    <row r="651" spans="2:3" ht="14.25" customHeight="1" x14ac:dyDescent="0.35">
      <c r="B651" s="30"/>
      <c r="C651" s="30"/>
    </row>
    <row r="652" spans="2:3" ht="14.25" customHeight="1" x14ac:dyDescent="0.35">
      <c r="B652" s="30"/>
      <c r="C652" s="30"/>
    </row>
    <row r="653" spans="2:3" ht="14.25" customHeight="1" x14ac:dyDescent="0.35">
      <c r="B653" s="30"/>
      <c r="C653" s="30"/>
    </row>
    <row r="654" spans="2:3" ht="14.25" customHeight="1" x14ac:dyDescent="0.35">
      <c r="B654" s="30"/>
      <c r="C654" s="30"/>
    </row>
    <row r="655" spans="2:3" ht="14.25" customHeight="1" x14ac:dyDescent="0.35">
      <c r="B655" s="30"/>
      <c r="C655" s="30"/>
    </row>
    <row r="656" spans="2:3" ht="14.25" customHeight="1" x14ac:dyDescent="0.35">
      <c r="B656" s="30"/>
      <c r="C656" s="30"/>
    </row>
    <row r="657" spans="2:3" ht="14.25" customHeight="1" x14ac:dyDescent="0.35">
      <c r="B657" s="30"/>
      <c r="C657" s="30"/>
    </row>
    <row r="658" spans="2:3" ht="14.25" customHeight="1" x14ac:dyDescent="0.35">
      <c r="B658" s="30"/>
      <c r="C658" s="30"/>
    </row>
    <row r="659" spans="2:3" ht="14.25" customHeight="1" x14ac:dyDescent="0.35">
      <c r="B659" s="30"/>
      <c r="C659" s="30"/>
    </row>
    <row r="660" spans="2:3" ht="14.25" customHeight="1" x14ac:dyDescent="0.35">
      <c r="B660" s="30"/>
      <c r="C660" s="30"/>
    </row>
    <row r="661" spans="2:3" ht="14.25" customHeight="1" x14ac:dyDescent="0.35">
      <c r="B661" s="30"/>
      <c r="C661" s="30"/>
    </row>
    <row r="662" spans="2:3" ht="14.25" customHeight="1" x14ac:dyDescent="0.35">
      <c r="B662" s="30"/>
      <c r="C662" s="30"/>
    </row>
    <row r="663" spans="2:3" ht="14.25" customHeight="1" x14ac:dyDescent="0.35">
      <c r="B663" s="30"/>
      <c r="C663" s="30"/>
    </row>
    <row r="664" spans="2:3" ht="14.25" customHeight="1" x14ac:dyDescent="0.35">
      <c r="B664" s="30"/>
      <c r="C664" s="30"/>
    </row>
    <row r="665" spans="2:3" ht="14.25" customHeight="1" x14ac:dyDescent="0.35">
      <c r="B665" s="30"/>
      <c r="C665" s="30"/>
    </row>
    <row r="666" spans="2:3" ht="14.25" customHeight="1" x14ac:dyDescent="0.35">
      <c r="B666" s="30"/>
      <c r="C666" s="30"/>
    </row>
    <row r="667" spans="2:3" ht="14.25" customHeight="1" x14ac:dyDescent="0.35">
      <c r="B667" s="30"/>
      <c r="C667" s="30"/>
    </row>
    <row r="668" spans="2:3" ht="14.25" customHeight="1" x14ac:dyDescent="0.35">
      <c r="B668" s="30"/>
      <c r="C668" s="30"/>
    </row>
    <row r="669" spans="2:3" ht="14.25" customHeight="1" x14ac:dyDescent="0.35">
      <c r="B669" s="30"/>
      <c r="C669" s="30"/>
    </row>
    <row r="670" spans="2:3" ht="14.25" customHeight="1" x14ac:dyDescent="0.35">
      <c r="B670" s="30"/>
      <c r="C670" s="30"/>
    </row>
    <row r="671" spans="2:3" ht="14.25" customHeight="1" x14ac:dyDescent="0.35">
      <c r="B671" s="30"/>
      <c r="C671" s="30"/>
    </row>
    <row r="672" spans="2:3" ht="14.25" customHeight="1" x14ac:dyDescent="0.35">
      <c r="B672" s="30"/>
      <c r="C672" s="30"/>
    </row>
    <row r="673" spans="2:3" ht="14.25" customHeight="1" x14ac:dyDescent="0.35">
      <c r="B673" s="30"/>
      <c r="C673" s="30"/>
    </row>
    <row r="674" spans="2:3" ht="14.25" customHeight="1" x14ac:dyDescent="0.35">
      <c r="B674" s="30"/>
      <c r="C674" s="30"/>
    </row>
    <row r="675" spans="2:3" ht="14.25" customHeight="1" x14ac:dyDescent="0.35">
      <c r="B675" s="30"/>
      <c r="C675" s="30"/>
    </row>
    <row r="676" spans="2:3" ht="14.25" customHeight="1" x14ac:dyDescent="0.35">
      <c r="B676" s="30"/>
      <c r="C676" s="30"/>
    </row>
    <row r="677" spans="2:3" ht="14.25" customHeight="1" x14ac:dyDescent="0.35">
      <c r="B677" s="30"/>
      <c r="C677" s="30"/>
    </row>
    <row r="678" spans="2:3" ht="14.25" customHeight="1" x14ac:dyDescent="0.35">
      <c r="B678" s="30"/>
      <c r="C678" s="30"/>
    </row>
    <row r="679" spans="2:3" ht="14.25" customHeight="1" x14ac:dyDescent="0.35">
      <c r="B679" s="30"/>
      <c r="C679" s="30"/>
    </row>
    <row r="680" spans="2:3" ht="14.25" customHeight="1" x14ac:dyDescent="0.35">
      <c r="B680" s="30"/>
      <c r="C680" s="30"/>
    </row>
    <row r="681" spans="2:3" ht="14.25" customHeight="1" x14ac:dyDescent="0.35">
      <c r="B681" s="30"/>
      <c r="C681" s="30"/>
    </row>
    <row r="682" spans="2:3" ht="14.25" customHeight="1" x14ac:dyDescent="0.35">
      <c r="B682" s="30"/>
      <c r="C682" s="30"/>
    </row>
    <row r="683" spans="2:3" ht="14.25" customHeight="1" x14ac:dyDescent="0.35">
      <c r="B683" s="30"/>
      <c r="C683" s="30"/>
    </row>
    <row r="684" spans="2:3" ht="14.25" customHeight="1" x14ac:dyDescent="0.35">
      <c r="B684" s="30"/>
      <c r="C684" s="30"/>
    </row>
    <row r="685" spans="2:3" ht="14.25" customHeight="1" x14ac:dyDescent="0.35">
      <c r="B685" s="30"/>
      <c r="C685" s="30"/>
    </row>
    <row r="686" spans="2:3" ht="14.25" customHeight="1" x14ac:dyDescent="0.35">
      <c r="B686" s="30"/>
      <c r="C686" s="30"/>
    </row>
    <row r="687" spans="2:3" ht="14.25" customHeight="1" x14ac:dyDescent="0.35">
      <c r="B687" s="30"/>
      <c r="C687" s="30"/>
    </row>
    <row r="688" spans="2:3" ht="14.25" customHeight="1" x14ac:dyDescent="0.35">
      <c r="B688" s="30"/>
      <c r="C688" s="30"/>
    </row>
    <row r="689" spans="2:3" ht="14.25" customHeight="1" x14ac:dyDescent="0.35">
      <c r="B689" s="30"/>
      <c r="C689" s="30"/>
    </row>
    <row r="690" spans="2:3" ht="14.25" customHeight="1" x14ac:dyDescent="0.35">
      <c r="B690" s="30"/>
      <c r="C690" s="30"/>
    </row>
    <row r="691" spans="2:3" ht="14.25" customHeight="1" x14ac:dyDescent="0.35">
      <c r="B691" s="30"/>
      <c r="C691" s="30"/>
    </row>
    <row r="692" spans="2:3" ht="14.25" customHeight="1" x14ac:dyDescent="0.35">
      <c r="B692" s="30"/>
      <c r="C692" s="30"/>
    </row>
    <row r="693" spans="2:3" ht="14.25" customHeight="1" x14ac:dyDescent="0.35">
      <c r="B693" s="30"/>
      <c r="C693" s="30"/>
    </row>
    <row r="694" spans="2:3" ht="14.25" customHeight="1" x14ac:dyDescent="0.35">
      <c r="B694" s="30"/>
      <c r="C694" s="30"/>
    </row>
    <row r="695" spans="2:3" ht="14.25" customHeight="1" x14ac:dyDescent="0.35">
      <c r="B695" s="30"/>
      <c r="C695" s="30"/>
    </row>
    <row r="696" spans="2:3" ht="14.25" customHeight="1" x14ac:dyDescent="0.35">
      <c r="B696" s="30"/>
      <c r="C696" s="30"/>
    </row>
    <row r="697" spans="2:3" ht="14.25" customHeight="1" x14ac:dyDescent="0.35">
      <c r="B697" s="30"/>
      <c r="C697" s="30"/>
    </row>
    <row r="698" spans="2:3" ht="14.25" customHeight="1" x14ac:dyDescent="0.35">
      <c r="B698" s="30"/>
      <c r="C698" s="30"/>
    </row>
    <row r="699" spans="2:3" ht="14.25" customHeight="1" x14ac:dyDescent="0.35">
      <c r="B699" s="30"/>
      <c r="C699" s="30"/>
    </row>
    <row r="700" spans="2:3" ht="14.25" customHeight="1" x14ac:dyDescent="0.35">
      <c r="B700" s="30"/>
      <c r="C700" s="30"/>
    </row>
    <row r="701" spans="2:3" ht="14.25" customHeight="1" x14ac:dyDescent="0.35">
      <c r="B701" s="30"/>
      <c r="C701" s="30"/>
    </row>
    <row r="702" spans="2:3" ht="14.25" customHeight="1" x14ac:dyDescent="0.35">
      <c r="B702" s="30"/>
      <c r="C702" s="30"/>
    </row>
    <row r="703" spans="2:3" ht="14.25" customHeight="1" x14ac:dyDescent="0.35">
      <c r="B703" s="30"/>
      <c r="C703" s="30"/>
    </row>
    <row r="704" spans="2:3" ht="14.25" customHeight="1" x14ac:dyDescent="0.35">
      <c r="B704" s="30"/>
      <c r="C704" s="30"/>
    </row>
    <row r="705" spans="2:3" ht="14.25" customHeight="1" x14ac:dyDescent="0.35">
      <c r="B705" s="30"/>
      <c r="C705" s="30"/>
    </row>
    <row r="706" spans="2:3" ht="14.25" customHeight="1" x14ac:dyDescent="0.35">
      <c r="B706" s="30"/>
      <c r="C706" s="30"/>
    </row>
    <row r="707" spans="2:3" ht="14.25" customHeight="1" x14ac:dyDescent="0.35">
      <c r="B707" s="30"/>
      <c r="C707" s="30"/>
    </row>
    <row r="708" spans="2:3" ht="14.25" customHeight="1" x14ac:dyDescent="0.35">
      <c r="B708" s="30"/>
      <c r="C708" s="30"/>
    </row>
    <row r="709" spans="2:3" ht="14.25" customHeight="1" x14ac:dyDescent="0.35">
      <c r="B709" s="30"/>
      <c r="C709" s="30"/>
    </row>
    <row r="710" spans="2:3" ht="14.25" customHeight="1" x14ac:dyDescent="0.35">
      <c r="B710" s="30"/>
      <c r="C710" s="30"/>
    </row>
    <row r="711" spans="2:3" ht="14.25" customHeight="1" x14ac:dyDescent="0.35">
      <c r="B711" s="30"/>
      <c r="C711" s="30"/>
    </row>
    <row r="712" spans="2:3" ht="14.25" customHeight="1" x14ac:dyDescent="0.35">
      <c r="B712" s="30"/>
      <c r="C712" s="30"/>
    </row>
    <row r="713" spans="2:3" ht="14.25" customHeight="1" x14ac:dyDescent="0.35">
      <c r="B713" s="30"/>
      <c r="C713" s="30"/>
    </row>
    <row r="714" spans="2:3" ht="14.25" customHeight="1" x14ac:dyDescent="0.35">
      <c r="B714" s="30"/>
      <c r="C714" s="30"/>
    </row>
    <row r="715" spans="2:3" ht="14.25" customHeight="1" x14ac:dyDescent="0.35">
      <c r="B715" s="30"/>
      <c r="C715" s="30"/>
    </row>
    <row r="716" spans="2:3" ht="14.25" customHeight="1" x14ac:dyDescent="0.35">
      <c r="B716" s="30"/>
      <c r="C716" s="30"/>
    </row>
    <row r="717" spans="2:3" ht="14.25" customHeight="1" x14ac:dyDescent="0.35">
      <c r="B717" s="30"/>
      <c r="C717" s="30"/>
    </row>
    <row r="718" spans="2:3" ht="14.25" customHeight="1" x14ac:dyDescent="0.35">
      <c r="B718" s="30"/>
      <c r="C718" s="30"/>
    </row>
    <row r="719" spans="2:3" ht="14.25" customHeight="1" x14ac:dyDescent="0.35">
      <c r="B719" s="30"/>
      <c r="C719" s="30"/>
    </row>
    <row r="720" spans="2:3" ht="14.25" customHeight="1" x14ac:dyDescent="0.35">
      <c r="B720" s="30"/>
      <c r="C720" s="30"/>
    </row>
    <row r="721" spans="2:3" ht="14.25" customHeight="1" x14ac:dyDescent="0.35">
      <c r="B721" s="30"/>
      <c r="C721" s="30"/>
    </row>
    <row r="722" spans="2:3" ht="14.25" customHeight="1" x14ac:dyDescent="0.35">
      <c r="B722" s="30"/>
      <c r="C722" s="30"/>
    </row>
    <row r="723" spans="2:3" ht="14.25" customHeight="1" x14ac:dyDescent="0.35">
      <c r="B723" s="30"/>
      <c r="C723" s="30"/>
    </row>
    <row r="724" spans="2:3" ht="14.25" customHeight="1" x14ac:dyDescent="0.35">
      <c r="B724" s="30"/>
      <c r="C724" s="30"/>
    </row>
    <row r="725" spans="2:3" ht="14.25" customHeight="1" x14ac:dyDescent="0.35">
      <c r="B725" s="30"/>
      <c r="C725" s="30"/>
    </row>
    <row r="726" spans="2:3" ht="14.25" customHeight="1" x14ac:dyDescent="0.35">
      <c r="B726" s="30"/>
      <c r="C726" s="30"/>
    </row>
    <row r="727" spans="2:3" ht="14.25" customHeight="1" x14ac:dyDescent="0.35">
      <c r="B727" s="30"/>
      <c r="C727" s="30"/>
    </row>
    <row r="728" spans="2:3" ht="14.25" customHeight="1" x14ac:dyDescent="0.35">
      <c r="B728" s="30"/>
      <c r="C728" s="30"/>
    </row>
    <row r="729" spans="2:3" ht="14.25" customHeight="1" x14ac:dyDescent="0.35">
      <c r="B729" s="30"/>
      <c r="C729" s="30"/>
    </row>
    <row r="730" spans="2:3" ht="14.25" customHeight="1" x14ac:dyDescent="0.35">
      <c r="B730" s="30"/>
      <c r="C730" s="30"/>
    </row>
    <row r="731" spans="2:3" ht="14.25" customHeight="1" x14ac:dyDescent="0.35">
      <c r="B731" s="30"/>
      <c r="C731" s="30"/>
    </row>
    <row r="732" spans="2:3" ht="14.25" customHeight="1" x14ac:dyDescent="0.35">
      <c r="B732" s="30"/>
      <c r="C732" s="30"/>
    </row>
    <row r="733" spans="2:3" ht="14.25" customHeight="1" x14ac:dyDescent="0.35">
      <c r="B733" s="30"/>
      <c r="C733" s="30"/>
    </row>
    <row r="734" spans="2:3" ht="14.25" customHeight="1" x14ac:dyDescent="0.35">
      <c r="B734" s="30"/>
      <c r="C734" s="30"/>
    </row>
    <row r="735" spans="2:3" ht="14.25" customHeight="1" x14ac:dyDescent="0.35">
      <c r="B735" s="30"/>
      <c r="C735" s="30"/>
    </row>
    <row r="736" spans="2:3" ht="14.25" customHeight="1" x14ac:dyDescent="0.35">
      <c r="B736" s="30"/>
      <c r="C736" s="30"/>
    </row>
    <row r="737" spans="2:3" ht="14.25" customHeight="1" x14ac:dyDescent="0.35">
      <c r="B737" s="30"/>
      <c r="C737" s="30"/>
    </row>
    <row r="738" spans="2:3" ht="14.25" customHeight="1" x14ac:dyDescent="0.35">
      <c r="B738" s="30"/>
      <c r="C738" s="30"/>
    </row>
    <row r="739" spans="2:3" ht="14.25" customHeight="1" x14ac:dyDescent="0.35">
      <c r="B739" s="30"/>
      <c r="C739" s="30"/>
    </row>
    <row r="740" spans="2:3" ht="14.25" customHeight="1" x14ac:dyDescent="0.35">
      <c r="B740" s="30"/>
      <c r="C740" s="30"/>
    </row>
    <row r="741" spans="2:3" ht="14.25" customHeight="1" x14ac:dyDescent="0.35">
      <c r="B741" s="30"/>
      <c r="C741" s="30"/>
    </row>
    <row r="742" spans="2:3" ht="14.25" customHeight="1" x14ac:dyDescent="0.35">
      <c r="B742" s="30"/>
      <c r="C742" s="30"/>
    </row>
    <row r="743" spans="2:3" ht="14.25" customHeight="1" x14ac:dyDescent="0.35">
      <c r="B743" s="30"/>
      <c r="C743" s="30"/>
    </row>
    <row r="744" spans="2:3" ht="14.25" customHeight="1" x14ac:dyDescent="0.35">
      <c r="B744" s="30"/>
      <c r="C744" s="30"/>
    </row>
    <row r="745" spans="2:3" ht="14.25" customHeight="1" x14ac:dyDescent="0.35">
      <c r="B745" s="30"/>
      <c r="C745" s="30"/>
    </row>
    <row r="746" spans="2:3" ht="14.25" customHeight="1" x14ac:dyDescent="0.35">
      <c r="B746" s="30"/>
      <c r="C746" s="30"/>
    </row>
    <row r="747" spans="2:3" ht="14.25" customHeight="1" x14ac:dyDescent="0.35">
      <c r="B747" s="30"/>
      <c r="C747" s="30"/>
    </row>
    <row r="748" spans="2:3" ht="14.25" customHeight="1" x14ac:dyDescent="0.35">
      <c r="B748" s="30"/>
      <c r="C748" s="30"/>
    </row>
    <row r="749" spans="2:3" ht="14.25" customHeight="1" x14ac:dyDescent="0.35">
      <c r="B749" s="30"/>
      <c r="C749" s="30"/>
    </row>
    <row r="750" spans="2:3" ht="14.25" customHeight="1" x14ac:dyDescent="0.35">
      <c r="B750" s="30"/>
      <c r="C750" s="30"/>
    </row>
    <row r="751" spans="2:3" ht="14.25" customHeight="1" x14ac:dyDescent="0.35">
      <c r="B751" s="30"/>
      <c r="C751" s="30"/>
    </row>
    <row r="752" spans="2:3" ht="14.25" customHeight="1" x14ac:dyDescent="0.35">
      <c r="B752" s="30"/>
      <c r="C752" s="30"/>
    </row>
    <row r="753" spans="2:3" ht="14.25" customHeight="1" x14ac:dyDescent="0.35">
      <c r="B753" s="30"/>
      <c r="C753" s="30"/>
    </row>
    <row r="754" spans="2:3" ht="14.25" customHeight="1" x14ac:dyDescent="0.35">
      <c r="B754" s="30"/>
      <c r="C754" s="30"/>
    </row>
    <row r="755" spans="2:3" ht="14.25" customHeight="1" x14ac:dyDescent="0.35">
      <c r="B755" s="30"/>
      <c r="C755" s="30"/>
    </row>
    <row r="756" spans="2:3" ht="14.25" customHeight="1" x14ac:dyDescent="0.35">
      <c r="B756" s="30"/>
      <c r="C756" s="30"/>
    </row>
    <row r="757" spans="2:3" ht="14.25" customHeight="1" x14ac:dyDescent="0.35">
      <c r="B757" s="30"/>
      <c r="C757" s="30"/>
    </row>
    <row r="758" spans="2:3" ht="14.25" customHeight="1" x14ac:dyDescent="0.35">
      <c r="B758" s="30"/>
      <c r="C758" s="30"/>
    </row>
    <row r="759" spans="2:3" ht="14.25" customHeight="1" x14ac:dyDescent="0.35">
      <c r="B759" s="30"/>
      <c r="C759" s="30"/>
    </row>
    <row r="760" spans="2:3" ht="14.25" customHeight="1" x14ac:dyDescent="0.35">
      <c r="B760" s="30"/>
      <c r="C760" s="30"/>
    </row>
    <row r="761" spans="2:3" ht="14.25" customHeight="1" x14ac:dyDescent="0.35">
      <c r="B761" s="30"/>
      <c r="C761" s="30"/>
    </row>
    <row r="762" spans="2:3" ht="14.25" customHeight="1" x14ac:dyDescent="0.35">
      <c r="B762" s="30"/>
      <c r="C762" s="30"/>
    </row>
    <row r="763" spans="2:3" ht="14.25" customHeight="1" x14ac:dyDescent="0.35">
      <c r="B763" s="30"/>
      <c r="C763" s="30"/>
    </row>
    <row r="764" spans="2:3" ht="14.25" customHeight="1" x14ac:dyDescent="0.35">
      <c r="B764" s="30"/>
      <c r="C764" s="30"/>
    </row>
    <row r="765" spans="2:3" ht="14.25" customHeight="1" x14ac:dyDescent="0.35">
      <c r="B765" s="30"/>
      <c r="C765" s="30"/>
    </row>
    <row r="766" spans="2:3" ht="14.25" customHeight="1" x14ac:dyDescent="0.35">
      <c r="B766" s="30"/>
      <c r="C766" s="30"/>
    </row>
    <row r="767" spans="2:3" ht="14.25" customHeight="1" x14ac:dyDescent="0.35">
      <c r="B767" s="30"/>
      <c r="C767" s="30"/>
    </row>
    <row r="768" spans="2:3" ht="14.25" customHeight="1" x14ac:dyDescent="0.35">
      <c r="B768" s="30"/>
      <c r="C768" s="30"/>
    </row>
    <row r="769" spans="2:3" ht="14.25" customHeight="1" x14ac:dyDescent="0.35">
      <c r="B769" s="30"/>
      <c r="C769" s="30"/>
    </row>
    <row r="770" spans="2:3" ht="14.25" customHeight="1" x14ac:dyDescent="0.35">
      <c r="B770" s="30"/>
      <c r="C770" s="30"/>
    </row>
    <row r="771" spans="2:3" ht="14.25" customHeight="1" x14ac:dyDescent="0.35">
      <c r="B771" s="30"/>
      <c r="C771" s="30"/>
    </row>
    <row r="772" spans="2:3" ht="14.25" customHeight="1" x14ac:dyDescent="0.35">
      <c r="B772" s="30"/>
      <c r="C772" s="30"/>
    </row>
    <row r="773" spans="2:3" ht="14.25" customHeight="1" x14ac:dyDescent="0.35">
      <c r="B773" s="30"/>
      <c r="C773" s="30"/>
    </row>
    <row r="774" spans="2:3" ht="14.25" customHeight="1" x14ac:dyDescent="0.35">
      <c r="B774" s="30"/>
      <c r="C774" s="30"/>
    </row>
    <row r="775" spans="2:3" ht="14.25" customHeight="1" x14ac:dyDescent="0.35">
      <c r="B775" s="30"/>
      <c r="C775" s="30"/>
    </row>
    <row r="776" spans="2:3" ht="14.25" customHeight="1" x14ac:dyDescent="0.35">
      <c r="B776" s="30"/>
      <c r="C776" s="30"/>
    </row>
    <row r="777" spans="2:3" ht="14.25" customHeight="1" x14ac:dyDescent="0.35">
      <c r="B777" s="30"/>
      <c r="C777" s="30"/>
    </row>
    <row r="778" spans="2:3" ht="14.25" customHeight="1" x14ac:dyDescent="0.35">
      <c r="B778" s="30"/>
      <c r="C778" s="30"/>
    </row>
    <row r="779" spans="2:3" ht="14.25" customHeight="1" x14ac:dyDescent="0.35">
      <c r="B779" s="30"/>
      <c r="C779" s="30"/>
    </row>
    <row r="780" spans="2:3" ht="14.25" customHeight="1" x14ac:dyDescent="0.35">
      <c r="B780" s="30"/>
      <c r="C780" s="30"/>
    </row>
    <row r="781" spans="2:3" ht="14.25" customHeight="1" x14ac:dyDescent="0.35">
      <c r="B781" s="30"/>
      <c r="C781" s="30"/>
    </row>
    <row r="782" spans="2:3" ht="14.25" customHeight="1" x14ac:dyDescent="0.35">
      <c r="B782" s="30"/>
      <c r="C782" s="30"/>
    </row>
    <row r="783" spans="2:3" ht="14.25" customHeight="1" x14ac:dyDescent="0.35">
      <c r="B783" s="30"/>
      <c r="C783" s="30"/>
    </row>
    <row r="784" spans="2:3" ht="14.25" customHeight="1" x14ac:dyDescent="0.35">
      <c r="B784" s="30"/>
      <c r="C784" s="30"/>
    </row>
    <row r="785" spans="2:3" ht="14.25" customHeight="1" x14ac:dyDescent="0.35">
      <c r="B785" s="30"/>
      <c r="C785" s="30"/>
    </row>
    <row r="786" spans="2:3" ht="14.25" customHeight="1" x14ac:dyDescent="0.35">
      <c r="B786" s="30"/>
      <c r="C786" s="30"/>
    </row>
    <row r="787" spans="2:3" ht="14.25" customHeight="1" x14ac:dyDescent="0.35">
      <c r="B787" s="30"/>
      <c r="C787" s="30"/>
    </row>
    <row r="788" spans="2:3" ht="14.25" customHeight="1" x14ac:dyDescent="0.35">
      <c r="B788" s="30"/>
      <c r="C788" s="30"/>
    </row>
    <row r="789" spans="2:3" ht="14.25" customHeight="1" x14ac:dyDescent="0.35">
      <c r="B789" s="30"/>
      <c r="C789" s="30"/>
    </row>
    <row r="790" spans="2:3" ht="14.25" customHeight="1" x14ac:dyDescent="0.35">
      <c r="B790" s="30"/>
      <c r="C790" s="30"/>
    </row>
    <row r="791" spans="2:3" ht="14.25" customHeight="1" x14ac:dyDescent="0.35">
      <c r="B791" s="30"/>
      <c r="C791" s="30"/>
    </row>
    <row r="792" spans="2:3" ht="14.25" customHeight="1" x14ac:dyDescent="0.35">
      <c r="B792" s="30"/>
      <c r="C792" s="30"/>
    </row>
    <row r="793" spans="2:3" ht="14.25" customHeight="1" x14ac:dyDescent="0.35">
      <c r="B793" s="30"/>
      <c r="C793" s="30"/>
    </row>
    <row r="794" spans="2:3" ht="14.25" customHeight="1" x14ac:dyDescent="0.35">
      <c r="B794" s="30"/>
      <c r="C794" s="30"/>
    </row>
    <row r="795" spans="2:3" ht="14.25" customHeight="1" x14ac:dyDescent="0.35">
      <c r="B795" s="30"/>
      <c r="C795" s="30"/>
    </row>
    <row r="796" spans="2:3" ht="14.25" customHeight="1" x14ac:dyDescent="0.35">
      <c r="B796" s="30"/>
      <c r="C796" s="30"/>
    </row>
    <row r="797" spans="2:3" ht="14.25" customHeight="1" x14ac:dyDescent="0.35">
      <c r="B797" s="30"/>
      <c r="C797" s="30"/>
    </row>
    <row r="798" spans="2:3" ht="14.25" customHeight="1" x14ac:dyDescent="0.35">
      <c r="B798" s="30"/>
      <c r="C798" s="30"/>
    </row>
    <row r="799" spans="2:3" ht="14.25" customHeight="1" x14ac:dyDescent="0.35">
      <c r="B799" s="30"/>
      <c r="C799" s="30"/>
    </row>
    <row r="800" spans="2:3" ht="14.25" customHeight="1" x14ac:dyDescent="0.35">
      <c r="B800" s="30"/>
      <c r="C800" s="30"/>
    </row>
    <row r="801" spans="2:3" ht="14.25" customHeight="1" x14ac:dyDescent="0.35">
      <c r="B801" s="30"/>
      <c r="C801" s="30"/>
    </row>
    <row r="802" spans="2:3" ht="14.25" customHeight="1" x14ac:dyDescent="0.35">
      <c r="B802" s="30"/>
      <c r="C802" s="30"/>
    </row>
    <row r="803" spans="2:3" ht="14.25" customHeight="1" x14ac:dyDescent="0.35">
      <c r="B803" s="30"/>
      <c r="C803" s="30"/>
    </row>
    <row r="804" spans="2:3" ht="14.25" customHeight="1" x14ac:dyDescent="0.35">
      <c r="B804" s="30"/>
      <c r="C804" s="30"/>
    </row>
    <row r="805" spans="2:3" ht="14.25" customHeight="1" x14ac:dyDescent="0.35">
      <c r="B805" s="30"/>
      <c r="C805" s="30"/>
    </row>
    <row r="806" spans="2:3" ht="14.25" customHeight="1" x14ac:dyDescent="0.35">
      <c r="B806" s="30"/>
      <c r="C806" s="30"/>
    </row>
    <row r="807" spans="2:3" ht="14.25" customHeight="1" x14ac:dyDescent="0.35">
      <c r="B807" s="30"/>
      <c r="C807" s="30"/>
    </row>
    <row r="808" spans="2:3" ht="14.25" customHeight="1" x14ac:dyDescent="0.35">
      <c r="B808" s="30"/>
      <c r="C808" s="30"/>
    </row>
    <row r="809" spans="2:3" ht="14.25" customHeight="1" x14ac:dyDescent="0.35">
      <c r="B809" s="30"/>
      <c r="C809" s="30"/>
    </row>
    <row r="810" spans="2:3" ht="14.25" customHeight="1" x14ac:dyDescent="0.35">
      <c r="B810" s="30"/>
      <c r="C810" s="30"/>
    </row>
    <row r="811" spans="2:3" ht="14.25" customHeight="1" x14ac:dyDescent="0.35">
      <c r="B811" s="30"/>
      <c r="C811" s="30"/>
    </row>
    <row r="812" spans="2:3" ht="14.25" customHeight="1" x14ac:dyDescent="0.35">
      <c r="B812" s="30"/>
      <c r="C812" s="30"/>
    </row>
    <row r="813" spans="2:3" ht="14.25" customHeight="1" x14ac:dyDescent="0.35">
      <c r="B813" s="30"/>
      <c r="C813" s="30"/>
    </row>
    <row r="814" spans="2:3" ht="14.25" customHeight="1" x14ac:dyDescent="0.35">
      <c r="B814" s="30"/>
      <c r="C814" s="30"/>
    </row>
    <row r="815" spans="2:3" ht="14.25" customHeight="1" x14ac:dyDescent="0.35">
      <c r="B815" s="30"/>
      <c r="C815" s="30"/>
    </row>
    <row r="816" spans="2:3" ht="14.25" customHeight="1" x14ac:dyDescent="0.35">
      <c r="B816" s="30"/>
      <c r="C816" s="30"/>
    </row>
    <row r="817" spans="2:3" ht="14.25" customHeight="1" x14ac:dyDescent="0.35">
      <c r="B817" s="30"/>
      <c r="C817" s="30"/>
    </row>
    <row r="818" spans="2:3" ht="14.25" customHeight="1" x14ac:dyDescent="0.35">
      <c r="B818" s="30"/>
      <c r="C818" s="30"/>
    </row>
    <row r="819" spans="2:3" ht="14.25" customHeight="1" x14ac:dyDescent="0.35">
      <c r="B819" s="30"/>
      <c r="C819" s="30"/>
    </row>
    <row r="820" spans="2:3" ht="14.25" customHeight="1" x14ac:dyDescent="0.35">
      <c r="B820" s="30"/>
      <c r="C820" s="30"/>
    </row>
    <row r="821" spans="2:3" ht="14.25" customHeight="1" x14ac:dyDescent="0.35">
      <c r="B821" s="30"/>
      <c r="C821" s="30"/>
    </row>
    <row r="822" spans="2:3" ht="14.25" customHeight="1" x14ac:dyDescent="0.35">
      <c r="B822" s="30"/>
      <c r="C822" s="30"/>
    </row>
    <row r="823" spans="2:3" ht="14.25" customHeight="1" x14ac:dyDescent="0.35">
      <c r="B823" s="30"/>
      <c r="C823" s="30"/>
    </row>
    <row r="824" spans="2:3" ht="14.25" customHeight="1" x14ac:dyDescent="0.35">
      <c r="B824" s="30"/>
      <c r="C824" s="30"/>
    </row>
    <row r="825" spans="2:3" ht="14.25" customHeight="1" x14ac:dyDescent="0.35">
      <c r="B825" s="30"/>
      <c r="C825" s="30"/>
    </row>
    <row r="826" spans="2:3" ht="14.25" customHeight="1" x14ac:dyDescent="0.35">
      <c r="B826" s="30"/>
      <c r="C826" s="30"/>
    </row>
    <row r="827" spans="2:3" ht="14.25" customHeight="1" x14ac:dyDescent="0.35">
      <c r="B827" s="30"/>
      <c r="C827" s="30"/>
    </row>
    <row r="828" spans="2:3" ht="14.25" customHeight="1" x14ac:dyDescent="0.35">
      <c r="B828" s="30"/>
      <c r="C828" s="30"/>
    </row>
    <row r="829" spans="2:3" ht="14.25" customHeight="1" x14ac:dyDescent="0.35">
      <c r="B829" s="30"/>
      <c r="C829" s="30"/>
    </row>
    <row r="830" spans="2:3" ht="14.25" customHeight="1" x14ac:dyDescent="0.35">
      <c r="B830" s="30"/>
      <c r="C830" s="30"/>
    </row>
    <row r="831" spans="2:3" ht="14.25" customHeight="1" x14ac:dyDescent="0.35">
      <c r="B831" s="30"/>
      <c r="C831" s="30"/>
    </row>
    <row r="832" spans="2:3" ht="14.25" customHeight="1" x14ac:dyDescent="0.35">
      <c r="B832" s="30"/>
      <c r="C832" s="30"/>
    </row>
    <row r="833" spans="2:3" ht="14.25" customHeight="1" x14ac:dyDescent="0.35">
      <c r="B833" s="30"/>
      <c r="C833" s="30"/>
    </row>
    <row r="834" spans="2:3" ht="14.25" customHeight="1" x14ac:dyDescent="0.35">
      <c r="B834" s="30"/>
      <c r="C834" s="30"/>
    </row>
    <row r="835" spans="2:3" ht="14.25" customHeight="1" x14ac:dyDescent="0.35">
      <c r="B835" s="30"/>
      <c r="C835" s="30"/>
    </row>
    <row r="836" spans="2:3" ht="14.25" customHeight="1" x14ac:dyDescent="0.35">
      <c r="B836" s="30"/>
      <c r="C836" s="30"/>
    </row>
    <row r="837" spans="2:3" ht="14.25" customHeight="1" x14ac:dyDescent="0.35">
      <c r="B837" s="30"/>
      <c r="C837" s="30"/>
    </row>
    <row r="838" spans="2:3" ht="14.25" customHeight="1" x14ac:dyDescent="0.35">
      <c r="B838" s="30"/>
      <c r="C838" s="30"/>
    </row>
    <row r="839" spans="2:3" ht="14.25" customHeight="1" x14ac:dyDescent="0.35">
      <c r="B839" s="30"/>
      <c r="C839" s="30"/>
    </row>
    <row r="840" spans="2:3" ht="14.25" customHeight="1" x14ac:dyDescent="0.35">
      <c r="B840" s="30"/>
      <c r="C840" s="30"/>
    </row>
    <row r="841" spans="2:3" ht="14.25" customHeight="1" x14ac:dyDescent="0.35">
      <c r="B841" s="30"/>
      <c r="C841" s="30"/>
    </row>
    <row r="842" spans="2:3" ht="14.25" customHeight="1" x14ac:dyDescent="0.35">
      <c r="B842" s="30"/>
      <c r="C842" s="30"/>
    </row>
    <row r="843" spans="2:3" ht="14.25" customHeight="1" x14ac:dyDescent="0.35">
      <c r="B843" s="30"/>
      <c r="C843" s="30"/>
    </row>
    <row r="844" spans="2:3" ht="14.25" customHeight="1" x14ac:dyDescent="0.35">
      <c r="B844" s="30"/>
      <c r="C844" s="30"/>
    </row>
    <row r="845" spans="2:3" ht="14.25" customHeight="1" x14ac:dyDescent="0.35">
      <c r="B845" s="30"/>
      <c r="C845" s="30"/>
    </row>
    <row r="846" spans="2:3" ht="14.25" customHeight="1" x14ac:dyDescent="0.35">
      <c r="B846" s="30"/>
      <c r="C846" s="30"/>
    </row>
    <row r="847" spans="2:3" ht="14.25" customHeight="1" x14ac:dyDescent="0.35">
      <c r="B847" s="30"/>
      <c r="C847" s="30"/>
    </row>
    <row r="848" spans="2:3" ht="14.25" customHeight="1" x14ac:dyDescent="0.35">
      <c r="B848" s="30"/>
      <c r="C848" s="30"/>
    </row>
    <row r="849" spans="2:3" ht="14.25" customHeight="1" x14ac:dyDescent="0.35">
      <c r="B849" s="30"/>
      <c r="C849" s="30"/>
    </row>
    <row r="850" spans="2:3" ht="14.25" customHeight="1" x14ac:dyDescent="0.35">
      <c r="B850" s="30"/>
      <c r="C850" s="30"/>
    </row>
    <row r="851" spans="2:3" ht="14.25" customHeight="1" x14ac:dyDescent="0.35">
      <c r="B851" s="30"/>
      <c r="C851" s="30"/>
    </row>
    <row r="852" spans="2:3" ht="14.25" customHeight="1" x14ac:dyDescent="0.35">
      <c r="B852" s="30"/>
      <c r="C852" s="30"/>
    </row>
    <row r="853" spans="2:3" ht="14.25" customHeight="1" x14ac:dyDescent="0.35">
      <c r="B853" s="30"/>
      <c r="C853" s="30"/>
    </row>
    <row r="854" spans="2:3" ht="14.25" customHeight="1" x14ac:dyDescent="0.35">
      <c r="B854" s="30"/>
      <c r="C854" s="30"/>
    </row>
    <row r="855" spans="2:3" ht="14.25" customHeight="1" x14ac:dyDescent="0.35">
      <c r="B855" s="30"/>
      <c r="C855" s="30"/>
    </row>
    <row r="856" spans="2:3" ht="14.25" customHeight="1" x14ac:dyDescent="0.35">
      <c r="B856" s="30"/>
      <c r="C856" s="30"/>
    </row>
    <row r="857" spans="2:3" ht="14.25" customHeight="1" x14ac:dyDescent="0.35">
      <c r="B857" s="30"/>
      <c r="C857" s="30"/>
    </row>
    <row r="858" spans="2:3" ht="14.25" customHeight="1" x14ac:dyDescent="0.35">
      <c r="B858" s="30"/>
      <c r="C858" s="30"/>
    </row>
    <row r="859" spans="2:3" ht="14.25" customHeight="1" x14ac:dyDescent="0.35">
      <c r="B859" s="30"/>
      <c r="C859" s="30"/>
    </row>
    <row r="860" spans="2:3" ht="14.25" customHeight="1" x14ac:dyDescent="0.35">
      <c r="B860" s="30"/>
      <c r="C860" s="30"/>
    </row>
    <row r="861" spans="2:3" ht="14.25" customHeight="1" x14ac:dyDescent="0.35">
      <c r="B861" s="30"/>
      <c r="C861" s="30"/>
    </row>
    <row r="862" spans="2:3" ht="14.25" customHeight="1" x14ac:dyDescent="0.35">
      <c r="B862" s="30"/>
      <c r="C862" s="30"/>
    </row>
    <row r="863" spans="2:3" ht="14.25" customHeight="1" x14ac:dyDescent="0.35">
      <c r="B863" s="30"/>
      <c r="C863" s="30"/>
    </row>
    <row r="864" spans="2:3" ht="14.25" customHeight="1" x14ac:dyDescent="0.35">
      <c r="B864" s="30"/>
      <c r="C864" s="30"/>
    </row>
    <row r="865" spans="2:3" ht="14.25" customHeight="1" x14ac:dyDescent="0.35">
      <c r="B865" s="30"/>
      <c r="C865" s="30"/>
    </row>
    <row r="866" spans="2:3" ht="14.25" customHeight="1" x14ac:dyDescent="0.35">
      <c r="B866" s="30"/>
      <c r="C866" s="30"/>
    </row>
    <row r="867" spans="2:3" ht="14.25" customHeight="1" x14ac:dyDescent="0.35">
      <c r="B867" s="30"/>
      <c r="C867" s="30"/>
    </row>
    <row r="868" spans="2:3" ht="14.25" customHeight="1" x14ac:dyDescent="0.35">
      <c r="B868" s="30"/>
      <c r="C868" s="30"/>
    </row>
    <row r="869" spans="2:3" ht="14.25" customHeight="1" x14ac:dyDescent="0.35">
      <c r="B869" s="30"/>
      <c r="C869" s="30"/>
    </row>
    <row r="870" spans="2:3" ht="14.25" customHeight="1" x14ac:dyDescent="0.35">
      <c r="B870" s="30"/>
      <c r="C870" s="30"/>
    </row>
    <row r="871" spans="2:3" ht="14.25" customHeight="1" x14ac:dyDescent="0.35">
      <c r="B871" s="30"/>
      <c r="C871" s="30"/>
    </row>
    <row r="872" spans="2:3" ht="14.25" customHeight="1" x14ac:dyDescent="0.35">
      <c r="B872" s="30"/>
      <c r="C872" s="30"/>
    </row>
    <row r="873" spans="2:3" ht="14.25" customHeight="1" x14ac:dyDescent="0.35">
      <c r="B873" s="30"/>
      <c r="C873" s="30"/>
    </row>
    <row r="874" spans="2:3" ht="14.25" customHeight="1" x14ac:dyDescent="0.35">
      <c r="B874" s="30"/>
      <c r="C874" s="30"/>
    </row>
    <row r="875" spans="2:3" ht="14.25" customHeight="1" x14ac:dyDescent="0.35">
      <c r="B875" s="30"/>
      <c r="C875" s="30"/>
    </row>
    <row r="876" spans="2:3" ht="14.25" customHeight="1" x14ac:dyDescent="0.35">
      <c r="B876" s="30"/>
      <c r="C876" s="30"/>
    </row>
    <row r="877" spans="2:3" ht="14.25" customHeight="1" x14ac:dyDescent="0.35">
      <c r="B877" s="30"/>
      <c r="C877" s="30"/>
    </row>
    <row r="878" spans="2:3" ht="14.25" customHeight="1" x14ac:dyDescent="0.35">
      <c r="B878" s="30"/>
      <c r="C878" s="30"/>
    </row>
    <row r="879" spans="2:3" ht="14.25" customHeight="1" x14ac:dyDescent="0.35">
      <c r="B879" s="30"/>
      <c r="C879" s="30"/>
    </row>
    <row r="880" spans="2:3" ht="14.25" customHeight="1" x14ac:dyDescent="0.35">
      <c r="B880" s="30"/>
      <c r="C880" s="30"/>
    </row>
    <row r="881" spans="2:3" ht="14.25" customHeight="1" x14ac:dyDescent="0.35">
      <c r="B881" s="30"/>
      <c r="C881" s="30"/>
    </row>
    <row r="882" spans="2:3" ht="14.25" customHeight="1" x14ac:dyDescent="0.35">
      <c r="B882" s="30"/>
      <c r="C882" s="30"/>
    </row>
    <row r="883" spans="2:3" ht="14.25" customHeight="1" x14ac:dyDescent="0.35">
      <c r="B883" s="30"/>
      <c r="C883" s="30"/>
    </row>
    <row r="884" spans="2:3" ht="14.25" customHeight="1" x14ac:dyDescent="0.35">
      <c r="B884" s="30"/>
      <c r="C884" s="30"/>
    </row>
    <row r="885" spans="2:3" ht="14.25" customHeight="1" x14ac:dyDescent="0.35">
      <c r="B885" s="30"/>
      <c r="C885" s="30"/>
    </row>
    <row r="886" spans="2:3" ht="14.25" customHeight="1" x14ac:dyDescent="0.35">
      <c r="B886" s="30"/>
      <c r="C886" s="30"/>
    </row>
    <row r="887" spans="2:3" ht="14.25" customHeight="1" x14ac:dyDescent="0.35">
      <c r="B887" s="30"/>
      <c r="C887" s="30"/>
    </row>
    <row r="888" spans="2:3" ht="14.25" customHeight="1" x14ac:dyDescent="0.35">
      <c r="B888" s="30"/>
      <c r="C888" s="30"/>
    </row>
    <row r="889" spans="2:3" ht="14.25" customHeight="1" x14ac:dyDescent="0.35">
      <c r="B889" s="30"/>
      <c r="C889" s="30"/>
    </row>
    <row r="890" spans="2:3" ht="14.25" customHeight="1" x14ac:dyDescent="0.35">
      <c r="B890" s="30"/>
      <c r="C890" s="30"/>
    </row>
    <row r="891" spans="2:3" ht="14.25" customHeight="1" x14ac:dyDescent="0.35">
      <c r="B891" s="30"/>
      <c r="C891" s="30"/>
    </row>
    <row r="892" spans="2:3" ht="14.25" customHeight="1" x14ac:dyDescent="0.35">
      <c r="B892" s="30"/>
      <c r="C892" s="30"/>
    </row>
    <row r="893" spans="2:3" ht="14.25" customHeight="1" x14ac:dyDescent="0.35">
      <c r="B893" s="30"/>
      <c r="C893" s="30"/>
    </row>
    <row r="894" spans="2:3" ht="14.25" customHeight="1" x14ac:dyDescent="0.35">
      <c r="B894" s="30"/>
      <c r="C894" s="30"/>
    </row>
    <row r="895" spans="2:3" ht="14.25" customHeight="1" x14ac:dyDescent="0.35">
      <c r="B895" s="30"/>
      <c r="C895" s="30"/>
    </row>
    <row r="896" spans="2:3" ht="14.25" customHeight="1" x14ac:dyDescent="0.35">
      <c r="B896" s="30"/>
      <c r="C896" s="30"/>
    </row>
    <row r="897" spans="2:3" ht="14.25" customHeight="1" x14ac:dyDescent="0.35">
      <c r="B897" s="30"/>
      <c r="C897" s="30"/>
    </row>
    <row r="898" spans="2:3" ht="14.25" customHeight="1" x14ac:dyDescent="0.35">
      <c r="B898" s="30"/>
      <c r="C898" s="30"/>
    </row>
    <row r="899" spans="2:3" ht="14.25" customHeight="1" x14ac:dyDescent="0.35">
      <c r="B899" s="30"/>
      <c r="C899" s="30"/>
    </row>
    <row r="900" spans="2:3" ht="14.25" customHeight="1" x14ac:dyDescent="0.35">
      <c r="B900" s="30"/>
      <c r="C900" s="30"/>
    </row>
    <row r="901" spans="2:3" ht="14.25" customHeight="1" x14ac:dyDescent="0.35">
      <c r="B901" s="30"/>
      <c r="C901" s="30"/>
    </row>
    <row r="902" spans="2:3" ht="14.25" customHeight="1" x14ac:dyDescent="0.35">
      <c r="B902" s="30"/>
      <c r="C902" s="30"/>
    </row>
    <row r="903" spans="2:3" ht="14.25" customHeight="1" x14ac:dyDescent="0.35">
      <c r="B903" s="30"/>
      <c r="C903" s="30"/>
    </row>
    <row r="904" spans="2:3" ht="14.25" customHeight="1" x14ac:dyDescent="0.35">
      <c r="B904" s="30"/>
      <c r="C904" s="30"/>
    </row>
    <row r="905" spans="2:3" ht="14.25" customHeight="1" x14ac:dyDescent="0.35">
      <c r="B905" s="30"/>
      <c r="C905" s="30"/>
    </row>
    <row r="906" spans="2:3" ht="14.25" customHeight="1" x14ac:dyDescent="0.35">
      <c r="B906" s="30"/>
      <c r="C906" s="30"/>
    </row>
    <row r="907" spans="2:3" ht="14.25" customHeight="1" x14ac:dyDescent="0.35">
      <c r="B907" s="30"/>
      <c r="C907" s="30"/>
    </row>
    <row r="908" spans="2:3" ht="14.25" customHeight="1" x14ac:dyDescent="0.35">
      <c r="B908" s="30"/>
      <c r="C908" s="30"/>
    </row>
    <row r="909" spans="2:3" ht="14.25" customHeight="1" x14ac:dyDescent="0.35">
      <c r="B909" s="30"/>
      <c r="C909" s="30"/>
    </row>
    <row r="910" spans="2:3" ht="14.25" customHeight="1" x14ac:dyDescent="0.35">
      <c r="B910" s="30"/>
      <c r="C910" s="30"/>
    </row>
    <row r="911" spans="2:3" ht="14.25" customHeight="1" x14ac:dyDescent="0.35">
      <c r="B911" s="30"/>
      <c r="C911" s="30"/>
    </row>
    <row r="912" spans="2:3" ht="14.25" customHeight="1" x14ac:dyDescent="0.35">
      <c r="B912" s="30"/>
      <c r="C912" s="30"/>
    </row>
    <row r="913" spans="2:3" ht="14.25" customHeight="1" x14ac:dyDescent="0.35">
      <c r="B913" s="30"/>
      <c r="C913" s="30"/>
    </row>
    <row r="914" spans="2:3" ht="14.25" customHeight="1" x14ac:dyDescent="0.35">
      <c r="B914" s="30"/>
      <c r="C914" s="30"/>
    </row>
    <row r="915" spans="2:3" ht="14.25" customHeight="1" x14ac:dyDescent="0.35">
      <c r="B915" s="30"/>
      <c r="C915" s="30"/>
    </row>
    <row r="916" spans="2:3" ht="14.25" customHeight="1" x14ac:dyDescent="0.35">
      <c r="B916" s="30"/>
      <c r="C916" s="30"/>
    </row>
    <row r="917" spans="2:3" ht="14.25" customHeight="1" x14ac:dyDescent="0.35">
      <c r="B917" s="30"/>
      <c r="C917" s="30"/>
    </row>
    <row r="918" spans="2:3" ht="14.25" customHeight="1" x14ac:dyDescent="0.35">
      <c r="B918" s="30"/>
      <c r="C918" s="30"/>
    </row>
    <row r="919" spans="2:3" ht="14.25" customHeight="1" x14ac:dyDescent="0.35">
      <c r="B919" s="30"/>
      <c r="C919" s="30"/>
    </row>
    <row r="920" spans="2:3" ht="14.25" customHeight="1" x14ac:dyDescent="0.35">
      <c r="B920" s="30"/>
      <c r="C920" s="30"/>
    </row>
    <row r="921" spans="2:3" ht="14.25" customHeight="1" x14ac:dyDescent="0.35">
      <c r="B921" s="30"/>
      <c r="C921" s="30"/>
    </row>
    <row r="922" spans="2:3" ht="14.25" customHeight="1" x14ac:dyDescent="0.35">
      <c r="B922" s="30"/>
      <c r="C922" s="30"/>
    </row>
    <row r="923" spans="2:3" ht="14.25" customHeight="1" x14ac:dyDescent="0.35">
      <c r="B923" s="30"/>
      <c r="C923" s="30"/>
    </row>
    <row r="924" spans="2:3" ht="14.25" customHeight="1" x14ac:dyDescent="0.35">
      <c r="B924" s="30"/>
      <c r="C924" s="30"/>
    </row>
    <row r="925" spans="2:3" ht="14.25" customHeight="1" x14ac:dyDescent="0.35">
      <c r="B925" s="30"/>
      <c r="C925" s="30"/>
    </row>
    <row r="926" spans="2:3" ht="14.25" customHeight="1" x14ac:dyDescent="0.35">
      <c r="B926" s="30"/>
      <c r="C926" s="30"/>
    </row>
    <row r="927" spans="2:3" ht="14.25" customHeight="1" x14ac:dyDescent="0.35">
      <c r="B927" s="30"/>
      <c r="C927" s="30"/>
    </row>
    <row r="928" spans="2:3" ht="14.25" customHeight="1" x14ac:dyDescent="0.35">
      <c r="B928" s="30"/>
      <c r="C928" s="30"/>
    </row>
    <row r="929" spans="2:3" ht="14.25" customHeight="1" x14ac:dyDescent="0.35">
      <c r="B929" s="30"/>
      <c r="C929" s="30"/>
    </row>
    <row r="930" spans="2:3" ht="14.25" customHeight="1" x14ac:dyDescent="0.35">
      <c r="B930" s="30"/>
      <c r="C930" s="30"/>
    </row>
    <row r="931" spans="2:3" ht="14.25" customHeight="1" x14ac:dyDescent="0.35">
      <c r="B931" s="30"/>
      <c r="C931" s="30"/>
    </row>
    <row r="932" spans="2:3" ht="14.25" customHeight="1" x14ac:dyDescent="0.35">
      <c r="B932" s="30"/>
      <c r="C932" s="30"/>
    </row>
    <row r="933" spans="2:3" ht="14.25" customHeight="1" x14ac:dyDescent="0.35">
      <c r="B933" s="30"/>
      <c r="C933" s="30"/>
    </row>
    <row r="934" spans="2:3" ht="14.25" customHeight="1" x14ac:dyDescent="0.35">
      <c r="B934" s="30"/>
      <c r="C934" s="30"/>
    </row>
    <row r="935" spans="2:3" ht="14.25" customHeight="1" x14ac:dyDescent="0.35">
      <c r="B935" s="30"/>
      <c r="C935" s="30"/>
    </row>
    <row r="936" spans="2:3" ht="14.25" customHeight="1" x14ac:dyDescent="0.35">
      <c r="B936" s="30"/>
      <c r="C936" s="30"/>
    </row>
    <row r="937" spans="2:3" ht="14.25" customHeight="1" x14ac:dyDescent="0.35">
      <c r="B937" s="30"/>
      <c r="C937" s="30"/>
    </row>
    <row r="938" spans="2:3" ht="14.25" customHeight="1" x14ac:dyDescent="0.35">
      <c r="B938" s="30"/>
      <c r="C938" s="30"/>
    </row>
    <row r="939" spans="2:3" ht="14.25" customHeight="1" x14ac:dyDescent="0.35">
      <c r="B939" s="30"/>
      <c r="C939" s="30"/>
    </row>
    <row r="940" spans="2:3" ht="14.25" customHeight="1" x14ac:dyDescent="0.35">
      <c r="B940" s="30"/>
      <c r="C940" s="30"/>
    </row>
    <row r="941" spans="2:3" ht="14.25" customHeight="1" x14ac:dyDescent="0.35">
      <c r="B941" s="30"/>
      <c r="C941" s="30"/>
    </row>
    <row r="942" spans="2:3" ht="14.25" customHeight="1" x14ac:dyDescent="0.35">
      <c r="B942" s="30"/>
      <c r="C942" s="30"/>
    </row>
    <row r="943" spans="2:3" ht="14.25" customHeight="1" x14ac:dyDescent="0.35">
      <c r="B943" s="30"/>
      <c r="C943" s="30"/>
    </row>
    <row r="944" spans="2:3" ht="14.25" customHeight="1" x14ac:dyDescent="0.35">
      <c r="B944" s="30"/>
      <c r="C944" s="30"/>
    </row>
    <row r="945" spans="2:3" ht="14.25" customHeight="1" x14ac:dyDescent="0.35">
      <c r="B945" s="30"/>
      <c r="C945" s="30"/>
    </row>
    <row r="946" spans="2:3" ht="14.25" customHeight="1" x14ac:dyDescent="0.35">
      <c r="B946" s="30"/>
      <c r="C946" s="30"/>
    </row>
    <row r="947" spans="2:3" ht="14.25" customHeight="1" x14ac:dyDescent="0.35">
      <c r="B947" s="30"/>
      <c r="C947" s="30"/>
    </row>
    <row r="948" spans="2:3" ht="14.25" customHeight="1" x14ac:dyDescent="0.35">
      <c r="B948" s="30"/>
      <c r="C948" s="30"/>
    </row>
    <row r="949" spans="2:3" ht="14.25" customHeight="1" x14ac:dyDescent="0.35">
      <c r="B949" s="30"/>
      <c r="C949" s="30"/>
    </row>
    <row r="950" spans="2:3" ht="14.25" customHeight="1" x14ac:dyDescent="0.35">
      <c r="B950" s="30"/>
      <c r="C950" s="30"/>
    </row>
    <row r="951" spans="2:3" ht="14.25" customHeight="1" x14ac:dyDescent="0.35">
      <c r="B951" s="30"/>
      <c r="C951" s="30"/>
    </row>
    <row r="952" spans="2:3" ht="14.25" customHeight="1" x14ac:dyDescent="0.35">
      <c r="B952" s="30"/>
      <c r="C952" s="30"/>
    </row>
    <row r="953" spans="2:3" ht="14.25" customHeight="1" x14ac:dyDescent="0.35">
      <c r="B953" s="30"/>
      <c r="C953" s="30"/>
    </row>
    <row r="954" spans="2:3" ht="14.25" customHeight="1" x14ac:dyDescent="0.35">
      <c r="B954" s="30"/>
      <c r="C954" s="30"/>
    </row>
    <row r="955" spans="2:3" ht="14.25" customHeight="1" x14ac:dyDescent="0.35">
      <c r="B955" s="30"/>
      <c r="C955" s="30"/>
    </row>
    <row r="956" spans="2:3" ht="14.25" customHeight="1" x14ac:dyDescent="0.35">
      <c r="B956" s="30"/>
      <c r="C956" s="30"/>
    </row>
    <row r="957" spans="2:3" ht="14.25" customHeight="1" x14ac:dyDescent="0.35">
      <c r="B957" s="30"/>
      <c r="C957" s="30"/>
    </row>
    <row r="958" spans="2:3" ht="14.25" customHeight="1" x14ac:dyDescent="0.35">
      <c r="B958" s="30"/>
      <c r="C958" s="30"/>
    </row>
    <row r="959" spans="2:3" ht="14.25" customHeight="1" x14ac:dyDescent="0.35">
      <c r="B959" s="30"/>
      <c r="C959" s="30"/>
    </row>
    <row r="960" spans="2:3" ht="14.25" customHeight="1" x14ac:dyDescent="0.35">
      <c r="B960" s="30"/>
      <c r="C960" s="30"/>
    </row>
    <row r="961" spans="2:3" ht="14.25" customHeight="1" x14ac:dyDescent="0.35">
      <c r="B961" s="30"/>
      <c r="C961" s="30"/>
    </row>
    <row r="962" spans="2:3" ht="14.25" customHeight="1" x14ac:dyDescent="0.35">
      <c r="B962" s="30"/>
      <c r="C962" s="30"/>
    </row>
    <row r="963" spans="2:3" ht="14.25" customHeight="1" x14ac:dyDescent="0.35">
      <c r="B963" s="30"/>
      <c r="C963" s="30"/>
    </row>
    <row r="964" spans="2:3" ht="14.25" customHeight="1" x14ac:dyDescent="0.35">
      <c r="B964" s="30"/>
      <c r="C964" s="30"/>
    </row>
    <row r="965" spans="2:3" ht="14.25" customHeight="1" x14ac:dyDescent="0.35">
      <c r="B965" s="30"/>
      <c r="C965" s="30"/>
    </row>
    <row r="966" spans="2:3" ht="14.25" customHeight="1" x14ac:dyDescent="0.35">
      <c r="B966" s="30"/>
      <c r="C966" s="30"/>
    </row>
    <row r="967" spans="2:3" ht="14.25" customHeight="1" x14ac:dyDescent="0.35">
      <c r="B967" s="30"/>
      <c r="C967" s="30"/>
    </row>
    <row r="968" spans="2:3" ht="14.25" customHeight="1" x14ac:dyDescent="0.35">
      <c r="B968" s="30"/>
      <c r="C968" s="30"/>
    </row>
    <row r="969" spans="2:3" ht="14.25" customHeight="1" x14ac:dyDescent="0.35">
      <c r="B969" s="30"/>
      <c r="C969" s="30"/>
    </row>
    <row r="970" spans="2:3" ht="14.25" customHeight="1" x14ac:dyDescent="0.35">
      <c r="B970" s="30"/>
      <c r="C970" s="30"/>
    </row>
    <row r="971" spans="2:3" ht="14.25" customHeight="1" x14ac:dyDescent="0.35">
      <c r="B971" s="30"/>
      <c r="C971" s="30"/>
    </row>
    <row r="972" spans="2:3" ht="14.25" customHeight="1" x14ac:dyDescent="0.35">
      <c r="B972" s="30"/>
      <c r="C972" s="30"/>
    </row>
    <row r="973" spans="2:3" ht="14.25" customHeight="1" x14ac:dyDescent="0.35">
      <c r="B973" s="30"/>
      <c r="C973" s="30"/>
    </row>
    <row r="974" spans="2:3" ht="14.25" customHeight="1" x14ac:dyDescent="0.35">
      <c r="B974" s="30"/>
      <c r="C974" s="30"/>
    </row>
    <row r="975" spans="2:3" ht="14.25" customHeight="1" x14ac:dyDescent="0.35">
      <c r="B975" s="30"/>
      <c r="C975" s="30"/>
    </row>
    <row r="976" spans="2:3" ht="14.25" customHeight="1" x14ac:dyDescent="0.35">
      <c r="B976" s="30"/>
      <c r="C976" s="30"/>
    </row>
    <row r="977" spans="2:3" ht="14.25" customHeight="1" x14ac:dyDescent="0.35">
      <c r="B977" s="30"/>
      <c r="C977" s="30"/>
    </row>
    <row r="978" spans="2:3" ht="14.25" customHeight="1" x14ac:dyDescent="0.35">
      <c r="B978" s="30"/>
      <c r="C978" s="30"/>
    </row>
    <row r="979" spans="2:3" ht="14.25" customHeight="1" x14ac:dyDescent="0.35">
      <c r="B979" s="30"/>
      <c r="C979" s="30"/>
    </row>
    <row r="980" spans="2:3" ht="14.25" customHeight="1" x14ac:dyDescent="0.35">
      <c r="B980" s="30"/>
      <c r="C980" s="30"/>
    </row>
    <row r="981" spans="2:3" ht="14.25" customHeight="1" x14ac:dyDescent="0.35">
      <c r="B981" s="30"/>
      <c r="C981" s="30"/>
    </row>
    <row r="982" spans="2:3" ht="14.25" customHeight="1" x14ac:dyDescent="0.35">
      <c r="B982" s="30"/>
      <c r="C982" s="30"/>
    </row>
    <row r="983" spans="2:3" ht="14.25" customHeight="1" x14ac:dyDescent="0.35">
      <c r="B983" s="30"/>
      <c r="C983" s="30"/>
    </row>
    <row r="984" spans="2:3" ht="14.25" customHeight="1" x14ac:dyDescent="0.35">
      <c r="B984" s="30"/>
      <c r="C984" s="30"/>
    </row>
    <row r="985" spans="2:3" ht="14.25" customHeight="1" x14ac:dyDescent="0.35">
      <c r="B985" s="30"/>
      <c r="C985" s="30"/>
    </row>
    <row r="986" spans="2:3" ht="14.25" customHeight="1" x14ac:dyDescent="0.35">
      <c r="B986" s="30"/>
      <c r="C986" s="30"/>
    </row>
    <row r="987" spans="2:3" ht="14.25" customHeight="1" x14ac:dyDescent="0.35">
      <c r="B987" s="30"/>
      <c r="C987" s="30"/>
    </row>
    <row r="988" spans="2:3" ht="14.25" customHeight="1" x14ac:dyDescent="0.35">
      <c r="B988" s="30"/>
      <c r="C988" s="30"/>
    </row>
    <row r="989" spans="2:3" ht="14.25" customHeight="1" x14ac:dyDescent="0.35">
      <c r="B989" s="30"/>
      <c r="C989" s="30"/>
    </row>
    <row r="990" spans="2:3" ht="14.25" customHeight="1" x14ac:dyDescent="0.35">
      <c r="B990" s="30"/>
      <c r="C990" s="30"/>
    </row>
    <row r="991" spans="2:3" ht="14.25" customHeight="1" x14ac:dyDescent="0.35">
      <c r="B991" s="30"/>
      <c r="C991" s="30"/>
    </row>
    <row r="992" spans="2:3" ht="14.25" customHeight="1" x14ac:dyDescent="0.35">
      <c r="B992" s="30"/>
      <c r="C992" s="30"/>
    </row>
    <row r="993" spans="2:3" ht="14.25" customHeight="1" x14ac:dyDescent="0.35">
      <c r="B993" s="30"/>
      <c r="C993" s="30"/>
    </row>
    <row r="994" spans="2:3" ht="14.25" customHeight="1" x14ac:dyDescent="0.35">
      <c r="B994" s="30"/>
      <c r="C994" s="30"/>
    </row>
    <row r="995" spans="2:3" ht="14.25" customHeight="1" x14ac:dyDescent="0.35">
      <c r="B995" s="30"/>
      <c r="C995" s="30"/>
    </row>
    <row r="996" spans="2:3" ht="14.25" customHeight="1" x14ac:dyDescent="0.35">
      <c r="B996" s="30"/>
      <c r="C996" s="30"/>
    </row>
    <row r="997" spans="2:3" ht="14.25" customHeight="1" x14ac:dyDescent="0.35">
      <c r="B997" s="30"/>
      <c r="C997" s="30"/>
    </row>
    <row r="998" spans="2:3" ht="14.25" customHeight="1" x14ac:dyDescent="0.35">
      <c r="B998" s="30"/>
      <c r="C998" s="30"/>
    </row>
    <row r="999" spans="2:3" ht="14.25" customHeight="1" x14ac:dyDescent="0.35">
      <c r="B999" s="30"/>
      <c r="C999" s="30"/>
    </row>
    <row r="1000" spans="2:3" ht="14.25" customHeight="1" x14ac:dyDescent="0.35">
      <c r="B1000" s="30"/>
      <c r="C1000" s="30"/>
    </row>
  </sheetData>
  <conditionalFormatting sqref="B1:C1000">
    <cfRule type="cellIs" dxfId="3" priority="1" operator="lessThan">
      <formula>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34998626667073579"/>
  </sheetPr>
  <dimension ref="A1:Z1000"/>
  <sheetViews>
    <sheetView workbookViewId="0">
      <selection activeCell="C13" sqref="C13"/>
    </sheetView>
  </sheetViews>
  <sheetFormatPr defaultColWidth="14.453125" defaultRowHeight="15" customHeight="1" x14ac:dyDescent="0.35"/>
  <cols>
    <col min="1" max="1" width="44.453125" customWidth="1"/>
    <col min="2" max="3" width="12.08984375" customWidth="1"/>
    <col min="4" max="4" width="8.7265625" customWidth="1"/>
    <col min="5" max="5" width="64.08984375" customWidth="1"/>
    <col min="6" max="7" width="12.08984375" customWidth="1"/>
    <col min="8" max="26" width="8.7265625" customWidth="1"/>
  </cols>
  <sheetData>
    <row r="1" spans="1:26" ht="14.25" customHeight="1" x14ac:dyDescent="0.35">
      <c r="A1" s="24" t="s">
        <v>52</v>
      </c>
      <c r="B1" s="25">
        <v>2024</v>
      </c>
      <c r="C1" s="26">
        <v>2023</v>
      </c>
      <c r="E1" s="24" t="s">
        <v>52</v>
      </c>
      <c r="F1" s="25">
        <v>2024</v>
      </c>
      <c r="G1" s="26">
        <v>2023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 x14ac:dyDescent="0.35">
      <c r="A2" s="77" t="s">
        <v>88</v>
      </c>
      <c r="B2" s="69"/>
      <c r="C2" s="78"/>
      <c r="D2" s="12"/>
      <c r="E2" s="77" t="s">
        <v>89</v>
      </c>
      <c r="F2" s="69"/>
      <c r="G2" s="78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25" customHeight="1" x14ac:dyDescent="0.35">
      <c r="A3" s="31" t="s">
        <v>90</v>
      </c>
      <c r="B3" s="32"/>
      <c r="C3" s="33"/>
      <c r="D3" s="12"/>
      <c r="E3" s="79" t="s">
        <v>91</v>
      </c>
      <c r="F3" s="69"/>
      <c r="G3" s="78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25" customHeight="1" x14ac:dyDescent="0.35">
      <c r="A4" s="34" t="s">
        <v>92</v>
      </c>
      <c r="B4" s="27">
        <v>45391.4</v>
      </c>
      <c r="C4" s="5">
        <v>47332.5</v>
      </c>
      <c r="D4" s="12"/>
      <c r="E4" s="34" t="s">
        <v>93</v>
      </c>
      <c r="F4" s="27">
        <v>2399.3000000000002</v>
      </c>
      <c r="G4" s="5">
        <v>2399.3000000000002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25" customHeight="1" x14ac:dyDescent="0.35">
      <c r="A5" s="34" t="s">
        <v>94</v>
      </c>
      <c r="B5" s="27">
        <v>3882.4</v>
      </c>
      <c r="C5" s="5">
        <v>3288.7</v>
      </c>
      <c r="D5" s="12"/>
      <c r="E5" s="34" t="s">
        <v>95</v>
      </c>
      <c r="F5" s="27">
        <v>234544.7</v>
      </c>
      <c r="G5" s="5">
        <v>235084.3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25" customHeight="1" x14ac:dyDescent="0.35">
      <c r="A6" s="34" t="s">
        <v>96</v>
      </c>
      <c r="B6" s="27">
        <v>1208</v>
      </c>
      <c r="C6" s="5">
        <v>1208</v>
      </c>
      <c r="D6" s="12"/>
      <c r="E6" s="35" t="s">
        <v>97</v>
      </c>
      <c r="F6" s="36">
        <v>236944</v>
      </c>
      <c r="G6" s="37">
        <v>237483.6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25" customHeight="1" x14ac:dyDescent="0.35">
      <c r="A7" s="34" t="s">
        <v>98</v>
      </c>
      <c r="B7" s="27">
        <v>30768</v>
      </c>
      <c r="C7" s="5">
        <v>38576.199999999997</v>
      </c>
      <c r="D7" s="12"/>
      <c r="E7" s="80"/>
      <c r="F7" s="69"/>
      <c r="G7" s="78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 x14ac:dyDescent="0.35">
      <c r="A8" s="34" t="s">
        <v>99</v>
      </c>
      <c r="B8" s="27">
        <v>3778.7</v>
      </c>
      <c r="C8" s="5">
        <v>5240.3999999999996</v>
      </c>
      <c r="D8" s="12"/>
      <c r="E8" s="79" t="s">
        <v>100</v>
      </c>
      <c r="F8" s="69"/>
      <c r="G8" s="78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25" customHeight="1" x14ac:dyDescent="0.35">
      <c r="A9" s="34" t="s">
        <v>101</v>
      </c>
      <c r="B9" s="27">
        <v>123985.8</v>
      </c>
      <c r="C9" s="5">
        <v>123985.8</v>
      </c>
      <c r="D9" s="12"/>
      <c r="E9" s="31" t="s">
        <v>102</v>
      </c>
      <c r="F9" s="27"/>
      <c r="G9" s="5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25" customHeight="1" x14ac:dyDescent="0.35">
      <c r="A10" s="34" t="s">
        <v>103</v>
      </c>
      <c r="B10" s="27">
        <v>245.1</v>
      </c>
      <c r="C10" s="5" t="s">
        <v>104</v>
      </c>
      <c r="D10" s="12"/>
      <c r="E10" s="34" t="s">
        <v>105</v>
      </c>
      <c r="F10" s="27"/>
      <c r="G10" s="5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25" customHeight="1" x14ac:dyDescent="0.35">
      <c r="A11" s="34" t="s">
        <v>106</v>
      </c>
      <c r="B11" s="27"/>
      <c r="C11" s="5"/>
      <c r="D11" s="12"/>
      <c r="E11" s="34" t="s">
        <v>107</v>
      </c>
      <c r="F11" s="27">
        <v>110360.1</v>
      </c>
      <c r="G11" s="5">
        <v>75867.3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25" customHeight="1" x14ac:dyDescent="0.35">
      <c r="A12" s="34" t="s">
        <v>108</v>
      </c>
      <c r="B12" s="27">
        <v>68.8</v>
      </c>
      <c r="C12" s="5">
        <v>144</v>
      </c>
      <c r="D12" s="12"/>
      <c r="E12" s="34" t="s">
        <v>109</v>
      </c>
      <c r="F12" s="27">
        <v>1669.1</v>
      </c>
      <c r="G12" s="5">
        <v>1815.1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25" customHeight="1" x14ac:dyDescent="0.35">
      <c r="A13" s="34" t="s">
        <v>110</v>
      </c>
      <c r="B13" s="27">
        <v>33869</v>
      </c>
      <c r="C13" s="5">
        <v>6327</v>
      </c>
      <c r="D13" s="12"/>
      <c r="E13" s="34" t="s">
        <v>111</v>
      </c>
      <c r="F13" s="27">
        <v>10772</v>
      </c>
      <c r="G13" s="5">
        <v>3912.2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25" customHeight="1" x14ac:dyDescent="0.35">
      <c r="A14" s="34" t="s">
        <v>112</v>
      </c>
      <c r="B14" s="27">
        <v>520.4</v>
      </c>
      <c r="C14" s="5">
        <v>570.5</v>
      </c>
      <c r="D14" s="12"/>
      <c r="E14" s="34" t="s">
        <v>113</v>
      </c>
      <c r="F14" s="27">
        <v>4254</v>
      </c>
      <c r="G14" s="5">
        <v>5074.5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25" customHeight="1" x14ac:dyDescent="0.35">
      <c r="A15" s="34" t="s">
        <v>114</v>
      </c>
      <c r="B15" s="27">
        <v>9945.2000000000007</v>
      </c>
      <c r="C15" s="5">
        <v>10323.9</v>
      </c>
      <c r="D15" s="12"/>
      <c r="E15" s="34" t="s">
        <v>115</v>
      </c>
      <c r="F15" s="27">
        <v>2197.3000000000002</v>
      </c>
      <c r="G15" s="5">
        <v>2061.6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25" customHeight="1" x14ac:dyDescent="0.35">
      <c r="A16" s="34" t="s">
        <v>116</v>
      </c>
      <c r="B16" s="27">
        <v>5033.8</v>
      </c>
      <c r="C16" s="5">
        <v>5861.3</v>
      </c>
      <c r="D16" s="12"/>
      <c r="E16" s="35" t="s">
        <v>117</v>
      </c>
      <c r="F16" s="36">
        <v>129252.5</v>
      </c>
      <c r="G16" s="37">
        <v>88730.7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25" customHeight="1" x14ac:dyDescent="0.35">
      <c r="A17" s="34" t="s">
        <v>118</v>
      </c>
      <c r="B17" s="27">
        <v>2407.1999999999998</v>
      </c>
      <c r="C17" s="5">
        <v>2365.1</v>
      </c>
      <c r="D17" s="12"/>
      <c r="E17" s="31"/>
      <c r="F17" s="32"/>
      <c r="G17" s="3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 x14ac:dyDescent="0.35">
      <c r="A18" s="35" t="s">
        <v>119</v>
      </c>
      <c r="B18" s="36">
        <v>261103.8</v>
      </c>
      <c r="C18" s="37">
        <v>245223.4</v>
      </c>
      <c r="D18" s="12"/>
      <c r="E18" s="31" t="s">
        <v>120</v>
      </c>
      <c r="F18" s="27"/>
      <c r="G18" s="5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25" customHeight="1" x14ac:dyDescent="0.35">
      <c r="A19" s="34"/>
      <c r="B19" s="27"/>
      <c r="C19" s="5"/>
      <c r="D19" s="12"/>
      <c r="E19" s="34" t="s">
        <v>105</v>
      </c>
      <c r="F19" s="27"/>
      <c r="G19" s="5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25" customHeight="1" x14ac:dyDescent="0.35">
      <c r="A20" s="31" t="s">
        <v>121</v>
      </c>
      <c r="B20" s="32"/>
      <c r="C20" s="33"/>
      <c r="D20" s="12"/>
      <c r="E20" s="34" t="s">
        <v>107</v>
      </c>
      <c r="F20" s="27">
        <v>106</v>
      </c>
      <c r="G20" s="5">
        <v>59.4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4.25" customHeight="1" x14ac:dyDescent="0.35">
      <c r="A21" s="34" t="s">
        <v>122</v>
      </c>
      <c r="B21" s="27">
        <v>34236.199999999997</v>
      </c>
      <c r="C21" s="5">
        <v>39891.9</v>
      </c>
      <c r="D21" s="12"/>
      <c r="E21" s="34" t="s">
        <v>123</v>
      </c>
      <c r="F21" s="27"/>
      <c r="G21" s="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 x14ac:dyDescent="0.35">
      <c r="A22" s="34" t="s">
        <v>124</v>
      </c>
      <c r="B22" s="27"/>
      <c r="C22" s="5"/>
      <c r="D22" s="12"/>
      <c r="E22" s="34" t="s">
        <v>125</v>
      </c>
      <c r="F22" s="27">
        <v>704.6</v>
      </c>
      <c r="G22" s="5">
        <v>1194.2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4.25" customHeight="1" x14ac:dyDescent="0.35">
      <c r="A23" s="34" t="s">
        <v>108</v>
      </c>
      <c r="B23" s="27"/>
      <c r="C23" s="5">
        <v>2002.6</v>
      </c>
      <c r="D23" s="12"/>
      <c r="E23" s="34" t="s">
        <v>126</v>
      </c>
      <c r="F23" s="27">
        <v>25491.200000000001</v>
      </c>
      <c r="G23" s="5">
        <v>30061.599999999999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4.25" customHeight="1" x14ac:dyDescent="0.35">
      <c r="A24" s="34" t="s">
        <v>127</v>
      </c>
      <c r="B24" s="27">
        <v>88341.6</v>
      </c>
      <c r="C24" s="5">
        <v>71250.2</v>
      </c>
      <c r="D24" s="12"/>
      <c r="E24" s="34" t="s">
        <v>128</v>
      </c>
      <c r="F24" s="27">
        <v>133.9</v>
      </c>
      <c r="G24" s="5">
        <v>166.4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4.25" customHeight="1" x14ac:dyDescent="0.35">
      <c r="A25" s="34" t="s">
        <v>129</v>
      </c>
      <c r="B25" s="27">
        <v>3264.6</v>
      </c>
      <c r="C25" s="5">
        <v>4102.8</v>
      </c>
      <c r="D25" s="12"/>
      <c r="E25" s="34" t="s">
        <v>130</v>
      </c>
      <c r="F25" s="27">
        <v>7188.1</v>
      </c>
      <c r="G25" s="5">
        <v>40640.1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4.25" customHeight="1" x14ac:dyDescent="0.35">
      <c r="A26" s="34" t="s">
        <v>131</v>
      </c>
      <c r="B26" s="27">
        <v>119.3</v>
      </c>
      <c r="C26" s="5">
        <v>110</v>
      </c>
      <c r="D26" s="12"/>
      <c r="E26" s="34" t="s">
        <v>132</v>
      </c>
      <c r="F26" s="27">
        <v>4730.5</v>
      </c>
      <c r="G26" s="5">
        <v>3437.7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4.25" customHeight="1" x14ac:dyDescent="0.35">
      <c r="A27" s="34" t="s">
        <v>133</v>
      </c>
      <c r="B27" s="27">
        <v>6555.1</v>
      </c>
      <c r="C27" s="5">
        <v>33470.300000000003</v>
      </c>
      <c r="D27" s="12"/>
      <c r="E27" s="34" t="s">
        <v>115</v>
      </c>
      <c r="F27" s="27">
        <v>6090.8</v>
      </c>
      <c r="G27" s="5">
        <v>8095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.25" customHeight="1" x14ac:dyDescent="0.35">
      <c r="A28" s="34" t="s">
        <v>134</v>
      </c>
      <c r="B28" s="27">
        <v>7695.5</v>
      </c>
      <c r="C28" s="5">
        <v>5824</v>
      </c>
      <c r="D28" s="12"/>
      <c r="E28" s="35" t="s">
        <v>135</v>
      </c>
      <c r="F28" s="36">
        <v>44445.1</v>
      </c>
      <c r="G28" s="37">
        <v>83654.399999999994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4.25" customHeight="1" x14ac:dyDescent="0.35">
      <c r="A29" s="34" t="s">
        <v>136</v>
      </c>
      <c r="B29" s="27">
        <v>8913.1</v>
      </c>
      <c r="C29" s="5">
        <v>7785.7</v>
      </c>
      <c r="D29" s="12"/>
      <c r="E29" s="34" t="s">
        <v>137</v>
      </c>
      <c r="F29" s="27">
        <v>6.3</v>
      </c>
      <c r="G29" s="5">
        <v>6.2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4.25" customHeight="1" x14ac:dyDescent="0.35">
      <c r="A30" s="35" t="s">
        <v>138</v>
      </c>
      <c r="B30" s="36">
        <v>149125.4</v>
      </c>
      <c r="C30" s="37">
        <v>164437.5</v>
      </c>
      <c r="D30" s="12"/>
      <c r="E30" s="31" t="s">
        <v>139</v>
      </c>
      <c r="F30" s="32">
        <v>173703.9</v>
      </c>
      <c r="G30" s="33">
        <v>172391.3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.25" customHeight="1" x14ac:dyDescent="0.35">
      <c r="A31" s="34" t="s">
        <v>140</v>
      </c>
      <c r="B31" s="27">
        <v>418.7</v>
      </c>
      <c r="C31" s="5">
        <v>214</v>
      </c>
      <c r="D31" s="12"/>
      <c r="E31" s="38" t="s">
        <v>141</v>
      </c>
      <c r="F31" s="39">
        <v>410647.9</v>
      </c>
      <c r="G31" s="40">
        <v>409874.9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.25" customHeight="1" x14ac:dyDescent="0.35">
      <c r="A32" s="38" t="s">
        <v>142</v>
      </c>
      <c r="B32" s="39">
        <v>410647.9</v>
      </c>
      <c r="C32" s="40">
        <v>409874.9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.2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 x14ac:dyDescent="0.3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 x14ac:dyDescent="0.3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 x14ac:dyDescent="0.3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 x14ac:dyDescent="0.3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 x14ac:dyDescent="0.3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 x14ac:dyDescent="0.3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 x14ac:dyDescent="0.3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 x14ac:dyDescent="0.3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 x14ac:dyDescent="0.3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 x14ac:dyDescent="0.3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 x14ac:dyDescent="0.3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 x14ac:dyDescent="0.3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 x14ac:dyDescent="0.3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 x14ac:dyDescent="0.3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 x14ac:dyDescent="0.3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 x14ac:dyDescent="0.3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 x14ac:dyDescent="0.3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 x14ac:dyDescent="0.3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 x14ac:dyDescent="0.3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 x14ac:dyDescent="0.3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 x14ac:dyDescent="0.3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 x14ac:dyDescent="0.3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 x14ac:dyDescent="0.3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 x14ac:dyDescent="0.3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 x14ac:dyDescent="0.3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 x14ac:dyDescent="0.3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 x14ac:dyDescent="0.3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 x14ac:dyDescent="0.3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 x14ac:dyDescent="0.3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 x14ac:dyDescent="0.3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 x14ac:dyDescent="0.3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 x14ac:dyDescent="0.3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 x14ac:dyDescent="0.3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 x14ac:dyDescent="0.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 x14ac:dyDescent="0.3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 x14ac:dyDescent="0.3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 x14ac:dyDescent="0.3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 x14ac:dyDescent="0.3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 x14ac:dyDescent="0.3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 x14ac:dyDescent="0.3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 x14ac:dyDescent="0.3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 x14ac:dyDescent="0.3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 x14ac:dyDescent="0.3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 x14ac:dyDescent="0.3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 x14ac:dyDescent="0.3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 x14ac:dyDescent="0.3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 x14ac:dyDescent="0.3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 x14ac:dyDescent="0.3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 x14ac:dyDescent="0.3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 x14ac:dyDescent="0.3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 x14ac:dyDescent="0.3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 x14ac:dyDescent="0.3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 x14ac:dyDescent="0.3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 x14ac:dyDescent="0.3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 x14ac:dyDescent="0.3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 x14ac:dyDescent="0.3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 x14ac:dyDescent="0.3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 x14ac:dyDescent="0.3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 x14ac:dyDescent="0.3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 x14ac:dyDescent="0.3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 x14ac:dyDescent="0.3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 x14ac:dyDescent="0.3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 x14ac:dyDescent="0.3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 x14ac:dyDescent="0.3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 x14ac:dyDescent="0.3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 x14ac:dyDescent="0.3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 x14ac:dyDescent="0.3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 x14ac:dyDescent="0.3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 x14ac:dyDescent="0.3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 x14ac:dyDescent="0.3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 x14ac:dyDescent="0.3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 x14ac:dyDescent="0.3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 x14ac:dyDescent="0.3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 x14ac:dyDescent="0.3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 x14ac:dyDescent="0.3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 x14ac:dyDescent="0.3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 x14ac:dyDescent="0.3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 x14ac:dyDescent="0.3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 x14ac:dyDescent="0.3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 x14ac:dyDescent="0.3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 x14ac:dyDescent="0.3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 x14ac:dyDescent="0.3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 x14ac:dyDescent="0.3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 x14ac:dyDescent="0.3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 x14ac:dyDescent="0.3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 x14ac:dyDescent="0.3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 x14ac:dyDescent="0.3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 x14ac:dyDescent="0.3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 x14ac:dyDescent="0.3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 x14ac:dyDescent="0.3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 x14ac:dyDescent="0.3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 x14ac:dyDescent="0.3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 x14ac:dyDescent="0.3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 x14ac:dyDescent="0.3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 x14ac:dyDescent="0.3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 x14ac:dyDescent="0.3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 x14ac:dyDescent="0.3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 x14ac:dyDescent="0.3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 x14ac:dyDescent="0.3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 x14ac:dyDescent="0.3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 x14ac:dyDescent="0.3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 x14ac:dyDescent="0.3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 x14ac:dyDescent="0.3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 x14ac:dyDescent="0.3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 x14ac:dyDescent="0.3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 x14ac:dyDescent="0.3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 x14ac:dyDescent="0.3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 x14ac:dyDescent="0.3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 x14ac:dyDescent="0.3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 x14ac:dyDescent="0.3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 x14ac:dyDescent="0.3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 x14ac:dyDescent="0.3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 x14ac:dyDescent="0.3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 x14ac:dyDescent="0.3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 x14ac:dyDescent="0.3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 x14ac:dyDescent="0.3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 x14ac:dyDescent="0.3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 x14ac:dyDescent="0.3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 x14ac:dyDescent="0.3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 x14ac:dyDescent="0.3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 x14ac:dyDescent="0.3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 x14ac:dyDescent="0.3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 x14ac:dyDescent="0.3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 x14ac:dyDescent="0.3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 x14ac:dyDescent="0.3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 x14ac:dyDescent="0.3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 x14ac:dyDescent="0.3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 x14ac:dyDescent="0.3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 x14ac:dyDescent="0.3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 x14ac:dyDescent="0.3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 x14ac:dyDescent="0.3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 x14ac:dyDescent="0.3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 x14ac:dyDescent="0.3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 x14ac:dyDescent="0.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 x14ac:dyDescent="0.3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 x14ac:dyDescent="0.3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 x14ac:dyDescent="0.3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 x14ac:dyDescent="0.3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 x14ac:dyDescent="0.3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 x14ac:dyDescent="0.3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 x14ac:dyDescent="0.3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 x14ac:dyDescent="0.3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 x14ac:dyDescent="0.3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 x14ac:dyDescent="0.3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 x14ac:dyDescent="0.3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 x14ac:dyDescent="0.3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 x14ac:dyDescent="0.3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 x14ac:dyDescent="0.3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 x14ac:dyDescent="0.3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 x14ac:dyDescent="0.3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 x14ac:dyDescent="0.3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 x14ac:dyDescent="0.3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 x14ac:dyDescent="0.3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 x14ac:dyDescent="0.3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 x14ac:dyDescent="0.3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 x14ac:dyDescent="0.3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 x14ac:dyDescent="0.3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 x14ac:dyDescent="0.3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 x14ac:dyDescent="0.3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 x14ac:dyDescent="0.3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 x14ac:dyDescent="0.3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 x14ac:dyDescent="0.3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 x14ac:dyDescent="0.3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 x14ac:dyDescent="0.3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 x14ac:dyDescent="0.3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 x14ac:dyDescent="0.3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 x14ac:dyDescent="0.3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 x14ac:dyDescent="0.3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 x14ac:dyDescent="0.3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 x14ac:dyDescent="0.3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 x14ac:dyDescent="0.3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 x14ac:dyDescent="0.3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 x14ac:dyDescent="0.3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 x14ac:dyDescent="0.3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 x14ac:dyDescent="0.3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 x14ac:dyDescent="0.3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 x14ac:dyDescent="0.3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 x14ac:dyDescent="0.3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 x14ac:dyDescent="0.3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 x14ac:dyDescent="0.3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 x14ac:dyDescent="0.3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 x14ac:dyDescent="0.3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 x14ac:dyDescent="0.3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 x14ac:dyDescent="0.3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 x14ac:dyDescent="0.3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 x14ac:dyDescent="0.3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 x14ac:dyDescent="0.3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 x14ac:dyDescent="0.3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 x14ac:dyDescent="0.3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 x14ac:dyDescent="0.3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 x14ac:dyDescent="0.3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 x14ac:dyDescent="0.3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 x14ac:dyDescent="0.3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 x14ac:dyDescent="0.3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 x14ac:dyDescent="0.3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 x14ac:dyDescent="0.3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 x14ac:dyDescent="0.3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 x14ac:dyDescent="0.3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 x14ac:dyDescent="0.3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 x14ac:dyDescent="0.3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 x14ac:dyDescent="0.3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 x14ac:dyDescent="0.3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 x14ac:dyDescent="0.3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 x14ac:dyDescent="0.3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 x14ac:dyDescent="0.3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 x14ac:dyDescent="0.3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 x14ac:dyDescent="0.3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 x14ac:dyDescent="0.3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 x14ac:dyDescent="0.3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 x14ac:dyDescent="0.3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 x14ac:dyDescent="0.3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 x14ac:dyDescent="0.3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 x14ac:dyDescent="0.3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 x14ac:dyDescent="0.3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 x14ac:dyDescent="0.3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 x14ac:dyDescent="0.3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 x14ac:dyDescent="0.3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 x14ac:dyDescent="0.3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 x14ac:dyDescent="0.3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 x14ac:dyDescent="0.3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 x14ac:dyDescent="0.3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 x14ac:dyDescent="0.3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 x14ac:dyDescent="0.3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 x14ac:dyDescent="0.3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 x14ac:dyDescent="0.3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 x14ac:dyDescent="0.3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 x14ac:dyDescent="0.3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 x14ac:dyDescent="0.3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 x14ac:dyDescent="0.3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 x14ac:dyDescent="0.3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 x14ac:dyDescent="0.3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 x14ac:dyDescent="0.3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 x14ac:dyDescent="0.3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 x14ac:dyDescent="0.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 x14ac:dyDescent="0.3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 x14ac:dyDescent="0.3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 x14ac:dyDescent="0.3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 x14ac:dyDescent="0.3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 x14ac:dyDescent="0.3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 x14ac:dyDescent="0.3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 x14ac:dyDescent="0.3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 x14ac:dyDescent="0.3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 x14ac:dyDescent="0.3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 x14ac:dyDescent="0.3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 x14ac:dyDescent="0.3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 x14ac:dyDescent="0.3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 x14ac:dyDescent="0.3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 x14ac:dyDescent="0.3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 x14ac:dyDescent="0.3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 x14ac:dyDescent="0.3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 x14ac:dyDescent="0.3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 x14ac:dyDescent="0.3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 x14ac:dyDescent="0.3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 x14ac:dyDescent="0.3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 x14ac:dyDescent="0.3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 x14ac:dyDescent="0.3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 x14ac:dyDescent="0.3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 x14ac:dyDescent="0.3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 x14ac:dyDescent="0.3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 x14ac:dyDescent="0.3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 x14ac:dyDescent="0.3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 x14ac:dyDescent="0.3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 x14ac:dyDescent="0.3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 x14ac:dyDescent="0.3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 x14ac:dyDescent="0.3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 x14ac:dyDescent="0.3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 x14ac:dyDescent="0.3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 x14ac:dyDescent="0.3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 x14ac:dyDescent="0.3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 x14ac:dyDescent="0.3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 x14ac:dyDescent="0.3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 x14ac:dyDescent="0.3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 x14ac:dyDescent="0.3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 x14ac:dyDescent="0.3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 x14ac:dyDescent="0.3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 x14ac:dyDescent="0.3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 x14ac:dyDescent="0.3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 x14ac:dyDescent="0.3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 x14ac:dyDescent="0.3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 x14ac:dyDescent="0.3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 x14ac:dyDescent="0.3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 x14ac:dyDescent="0.3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 x14ac:dyDescent="0.3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 x14ac:dyDescent="0.3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 x14ac:dyDescent="0.3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 x14ac:dyDescent="0.3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 x14ac:dyDescent="0.3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 x14ac:dyDescent="0.3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 x14ac:dyDescent="0.3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 x14ac:dyDescent="0.3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 x14ac:dyDescent="0.3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 x14ac:dyDescent="0.3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 x14ac:dyDescent="0.3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 x14ac:dyDescent="0.3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 x14ac:dyDescent="0.3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 x14ac:dyDescent="0.3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 x14ac:dyDescent="0.3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 x14ac:dyDescent="0.3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 x14ac:dyDescent="0.3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 x14ac:dyDescent="0.3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 x14ac:dyDescent="0.3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 x14ac:dyDescent="0.3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 x14ac:dyDescent="0.3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 x14ac:dyDescent="0.3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 x14ac:dyDescent="0.3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 x14ac:dyDescent="0.3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 x14ac:dyDescent="0.3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 x14ac:dyDescent="0.3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 x14ac:dyDescent="0.3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 x14ac:dyDescent="0.3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 x14ac:dyDescent="0.3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 x14ac:dyDescent="0.3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 x14ac:dyDescent="0.3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 x14ac:dyDescent="0.3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 x14ac:dyDescent="0.3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 x14ac:dyDescent="0.3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 x14ac:dyDescent="0.3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 x14ac:dyDescent="0.3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 x14ac:dyDescent="0.3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 x14ac:dyDescent="0.3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 x14ac:dyDescent="0.3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 x14ac:dyDescent="0.3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 x14ac:dyDescent="0.3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 x14ac:dyDescent="0.3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 x14ac:dyDescent="0.3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 x14ac:dyDescent="0.3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 x14ac:dyDescent="0.3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 x14ac:dyDescent="0.3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 x14ac:dyDescent="0.3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 x14ac:dyDescent="0.3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 x14ac:dyDescent="0.3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 x14ac:dyDescent="0.3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 x14ac:dyDescent="0.3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 x14ac:dyDescent="0.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 x14ac:dyDescent="0.3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 x14ac:dyDescent="0.3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 x14ac:dyDescent="0.3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 x14ac:dyDescent="0.3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 x14ac:dyDescent="0.3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 x14ac:dyDescent="0.3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 x14ac:dyDescent="0.3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 x14ac:dyDescent="0.3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 x14ac:dyDescent="0.3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 x14ac:dyDescent="0.3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 x14ac:dyDescent="0.3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 x14ac:dyDescent="0.3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 x14ac:dyDescent="0.3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 x14ac:dyDescent="0.3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 x14ac:dyDescent="0.3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 x14ac:dyDescent="0.3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 x14ac:dyDescent="0.3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 x14ac:dyDescent="0.3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 x14ac:dyDescent="0.3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 x14ac:dyDescent="0.3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 x14ac:dyDescent="0.3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 x14ac:dyDescent="0.3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 x14ac:dyDescent="0.3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 x14ac:dyDescent="0.3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 x14ac:dyDescent="0.3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 x14ac:dyDescent="0.3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 x14ac:dyDescent="0.3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 x14ac:dyDescent="0.3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 x14ac:dyDescent="0.3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 x14ac:dyDescent="0.3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 x14ac:dyDescent="0.3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 x14ac:dyDescent="0.3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 x14ac:dyDescent="0.3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 x14ac:dyDescent="0.3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 x14ac:dyDescent="0.3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 x14ac:dyDescent="0.3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 x14ac:dyDescent="0.3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 x14ac:dyDescent="0.3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 x14ac:dyDescent="0.3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 x14ac:dyDescent="0.3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 x14ac:dyDescent="0.3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 x14ac:dyDescent="0.3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 x14ac:dyDescent="0.3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 x14ac:dyDescent="0.3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 x14ac:dyDescent="0.3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 x14ac:dyDescent="0.3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 x14ac:dyDescent="0.3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 x14ac:dyDescent="0.3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 x14ac:dyDescent="0.3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 x14ac:dyDescent="0.3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 x14ac:dyDescent="0.3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 x14ac:dyDescent="0.3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 x14ac:dyDescent="0.3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 x14ac:dyDescent="0.3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 x14ac:dyDescent="0.3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 x14ac:dyDescent="0.3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 x14ac:dyDescent="0.3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 x14ac:dyDescent="0.3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 x14ac:dyDescent="0.3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 x14ac:dyDescent="0.3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 x14ac:dyDescent="0.3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 x14ac:dyDescent="0.3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 x14ac:dyDescent="0.3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 x14ac:dyDescent="0.3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 x14ac:dyDescent="0.3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 x14ac:dyDescent="0.3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 x14ac:dyDescent="0.3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 x14ac:dyDescent="0.3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 x14ac:dyDescent="0.3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 x14ac:dyDescent="0.3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 x14ac:dyDescent="0.3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 x14ac:dyDescent="0.3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 x14ac:dyDescent="0.3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 x14ac:dyDescent="0.3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 x14ac:dyDescent="0.3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 x14ac:dyDescent="0.3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 x14ac:dyDescent="0.3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 x14ac:dyDescent="0.3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 x14ac:dyDescent="0.3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 x14ac:dyDescent="0.3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 x14ac:dyDescent="0.3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 x14ac:dyDescent="0.3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 x14ac:dyDescent="0.3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 x14ac:dyDescent="0.3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 x14ac:dyDescent="0.3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 x14ac:dyDescent="0.3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 x14ac:dyDescent="0.3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 x14ac:dyDescent="0.3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 x14ac:dyDescent="0.3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 x14ac:dyDescent="0.3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 x14ac:dyDescent="0.3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 x14ac:dyDescent="0.3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 x14ac:dyDescent="0.3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 x14ac:dyDescent="0.3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 x14ac:dyDescent="0.3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 x14ac:dyDescent="0.3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 x14ac:dyDescent="0.3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 x14ac:dyDescent="0.3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 x14ac:dyDescent="0.3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 x14ac:dyDescent="0.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 x14ac:dyDescent="0.3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 x14ac:dyDescent="0.3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 x14ac:dyDescent="0.3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 x14ac:dyDescent="0.3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 x14ac:dyDescent="0.3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 x14ac:dyDescent="0.3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 x14ac:dyDescent="0.3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 x14ac:dyDescent="0.3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 x14ac:dyDescent="0.3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 x14ac:dyDescent="0.3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 x14ac:dyDescent="0.3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 x14ac:dyDescent="0.3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 x14ac:dyDescent="0.3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 x14ac:dyDescent="0.3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 x14ac:dyDescent="0.3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 x14ac:dyDescent="0.3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 x14ac:dyDescent="0.3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 x14ac:dyDescent="0.3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 x14ac:dyDescent="0.3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 x14ac:dyDescent="0.3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 x14ac:dyDescent="0.3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 x14ac:dyDescent="0.3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 x14ac:dyDescent="0.3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 x14ac:dyDescent="0.3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 x14ac:dyDescent="0.3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 x14ac:dyDescent="0.3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 x14ac:dyDescent="0.3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 x14ac:dyDescent="0.3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 x14ac:dyDescent="0.3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 x14ac:dyDescent="0.3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 x14ac:dyDescent="0.3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 x14ac:dyDescent="0.3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 x14ac:dyDescent="0.3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 x14ac:dyDescent="0.3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 x14ac:dyDescent="0.3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 x14ac:dyDescent="0.3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 x14ac:dyDescent="0.3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 x14ac:dyDescent="0.3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 x14ac:dyDescent="0.3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 x14ac:dyDescent="0.3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 x14ac:dyDescent="0.3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 x14ac:dyDescent="0.3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 x14ac:dyDescent="0.3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 x14ac:dyDescent="0.3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 x14ac:dyDescent="0.3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 x14ac:dyDescent="0.3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 x14ac:dyDescent="0.3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 x14ac:dyDescent="0.3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 x14ac:dyDescent="0.3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 x14ac:dyDescent="0.3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 x14ac:dyDescent="0.3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 x14ac:dyDescent="0.3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 x14ac:dyDescent="0.3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 x14ac:dyDescent="0.3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 x14ac:dyDescent="0.3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 x14ac:dyDescent="0.3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 x14ac:dyDescent="0.3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 x14ac:dyDescent="0.3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 x14ac:dyDescent="0.3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 x14ac:dyDescent="0.3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 x14ac:dyDescent="0.3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 x14ac:dyDescent="0.3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 x14ac:dyDescent="0.3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 x14ac:dyDescent="0.3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 x14ac:dyDescent="0.3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 x14ac:dyDescent="0.3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 x14ac:dyDescent="0.3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 x14ac:dyDescent="0.3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 x14ac:dyDescent="0.3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 x14ac:dyDescent="0.3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 x14ac:dyDescent="0.3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 x14ac:dyDescent="0.3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 x14ac:dyDescent="0.3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 x14ac:dyDescent="0.3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 x14ac:dyDescent="0.3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 x14ac:dyDescent="0.3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 x14ac:dyDescent="0.3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 x14ac:dyDescent="0.3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 x14ac:dyDescent="0.3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 x14ac:dyDescent="0.3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 x14ac:dyDescent="0.3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 x14ac:dyDescent="0.3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 x14ac:dyDescent="0.3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 x14ac:dyDescent="0.3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 x14ac:dyDescent="0.3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 x14ac:dyDescent="0.3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 x14ac:dyDescent="0.3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 x14ac:dyDescent="0.3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 x14ac:dyDescent="0.3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 x14ac:dyDescent="0.3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 x14ac:dyDescent="0.3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 x14ac:dyDescent="0.3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 x14ac:dyDescent="0.3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 x14ac:dyDescent="0.3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 x14ac:dyDescent="0.3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 x14ac:dyDescent="0.3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 x14ac:dyDescent="0.3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 x14ac:dyDescent="0.3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 x14ac:dyDescent="0.3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 x14ac:dyDescent="0.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 x14ac:dyDescent="0.3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 x14ac:dyDescent="0.3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 x14ac:dyDescent="0.3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 x14ac:dyDescent="0.3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 x14ac:dyDescent="0.3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 x14ac:dyDescent="0.3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 x14ac:dyDescent="0.3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 x14ac:dyDescent="0.3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 x14ac:dyDescent="0.3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 x14ac:dyDescent="0.3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 x14ac:dyDescent="0.3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 x14ac:dyDescent="0.3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 x14ac:dyDescent="0.3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 x14ac:dyDescent="0.3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 x14ac:dyDescent="0.3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 x14ac:dyDescent="0.3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 x14ac:dyDescent="0.3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 x14ac:dyDescent="0.3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 x14ac:dyDescent="0.3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 x14ac:dyDescent="0.3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 x14ac:dyDescent="0.3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 x14ac:dyDescent="0.3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 x14ac:dyDescent="0.3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 x14ac:dyDescent="0.3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 x14ac:dyDescent="0.3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 x14ac:dyDescent="0.3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 x14ac:dyDescent="0.3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 x14ac:dyDescent="0.3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 x14ac:dyDescent="0.3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 x14ac:dyDescent="0.3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 x14ac:dyDescent="0.3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 x14ac:dyDescent="0.3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 x14ac:dyDescent="0.3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 x14ac:dyDescent="0.3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 x14ac:dyDescent="0.3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 x14ac:dyDescent="0.3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 x14ac:dyDescent="0.3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 x14ac:dyDescent="0.3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 x14ac:dyDescent="0.3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 x14ac:dyDescent="0.3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 x14ac:dyDescent="0.3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 x14ac:dyDescent="0.3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 x14ac:dyDescent="0.3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 x14ac:dyDescent="0.3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 x14ac:dyDescent="0.3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 x14ac:dyDescent="0.3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 x14ac:dyDescent="0.3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 x14ac:dyDescent="0.3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 x14ac:dyDescent="0.3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 x14ac:dyDescent="0.3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 x14ac:dyDescent="0.3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 x14ac:dyDescent="0.3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 x14ac:dyDescent="0.3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 x14ac:dyDescent="0.3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 x14ac:dyDescent="0.3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 x14ac:dyDescent="0.3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 x14ac:dyDescent="0.3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 x14ac:dyDescent="0.3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 x14ac:dyDescent="0.3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 x14ac:dyDescent="0.3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25" customHeight="1" x14ac:dyDescent="0.3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25" customHeight="1" x14ac:dyDescent="0.3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25" customHeight="1" x14ac:dyDescent="0.3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25" customHeight="1" x14ac:dyDescent="0.3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4.25" customHeight="1" x14ac:dyDescent="0.3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5">
    <mergeCell ref="A2:C2"/>
    <mergeCell ref="E2:G2"/>
    <mergeCell ref="E3:G3"/>
    <mergeCell ref="E7:G7"/>
    <mergeCell ref="E8:G8"/>
  </mergeCells>
  <conditionalFormatting sqref="A2 D2:Z2 A3:Z33">
    <cfRule type="cellIs" dxfId="2" priority="1" operator="lessThan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G1000"/>
  <sheetViews>
    <sheetView workbookViewId="0"/>
  </sheetViews>
  <sheetFormatPr defaultColWidth="14.453125" defaultRowHeight="15" customHeight="1" x14ac:dyDescent="0.35"/>
  <cols>
    <col min="1" max="1" width="135" customWidth="1"/>
    <col min="2" max="2" width="13.453125" customWidth="1"/>
    <col min="3" max="3" width="11.81640625" customWidth="1"/>
    <col min="4" max="4" width="8.7265625" customWidth="1"/>
    <col min="5" max="5" width="58.08984375" customWidth="1"/>
    <col min="6" max="26" width="8.7265625" customWidth="1"/>
  </cols>
  <sheetData>
    <row r="1" spans="1:7" ht="14.25" customHeight="1" x14ac:dyDescent="0.35">
      <c r="A1" s="41" t="s">
        <v>52</v>
      </c>
      <c r="B1" s="25">
        <v>2024</v>
      </c>
      <c r="C1" s="26">
        <v>2023</v>
      </c>
      <c r="E1" s="81" t="s">
        <v>143</v>
      </c>
      <c r="F1" s="82"/>
      <c r="G1" s="82"/>
    </row>
    <row r="2" spans="1:7" ht="14.25" customHeight="1" x14ac:dyDescent="0.35">
      <c r="A2" s="83" t="s">
        <v>144</v>
      </c>
      <c r="B2" s="69"/>
      <c r="C2" s="78"/>
      <c r="E2" s="68" t="s">
        <v>145</v>
      </c>
      <c r="F2" s="69"/>
      <c r="G2" s="70"/>
    </row>
    <row r="3" spans="1:7" ht="14.25" customHeight="1" x14ac:dyDescent="0.35">
      <c r="A3" s="34" t="s">
        <v>146</v>
      </c>
      <c r="B3" s="27">
        <v>34496.5</v>
      </c>
      <c r="C3" s="5">
        <v>17410.5</v>
      </c>
      <c r="E3" s="42" t="s">
        <v>52</v>
      </c>
      <c r="F3" s="42">
        <v>2024</v>
      </c>
      <c r="G3" s="42">
        <v>2023</v>
      </c>
    </row>
    <row r="4" spans="1:7" ht="14.25" customHeight="1" x14ac:dyDescent="0.35">
      <c r="A4" s="34" t="s">
        <v>147</v>
      </c>
      <c r="B4" s="27"/>
      <c r="C4" s="5"/>
      <c r="E4" s="1" t="s">
        <v>148</v>
      </c>
      <c r="F4" s="1"/>
      <c r="G4" s="1"/>
    </row>
    <row r="5" spans="1:7" ht="14.25" customHeight="1" x14ac:dyDescent="0.35">
      <c r="A5" s="34" t="s">
        <v>62</v>
      </c>
      <c r="B5" s="27">
        <v>16006.2</v>
      </c>
      <c r="C5" s="5">
        <v>16008.7</v>
      </c>
      <c r="E5" s="1" t="s">
        <v>149</v>
      </c>
      <c r="F5" s="1">
        <v>3252.7</v>
      </c>
      <c r="G5" s="1">
        <v>4086.6</v>
      </c>
    </row>
    <row r="6" spans="1:7" ht="14.25" customHeight="1" x14ac:dyDescent="0.35">
      <c r="A6" s="34" t="s">
        <v>150</v>
      </c>
      <c r="B6" s="27">
        <v>1707.1</v>
      </c>
      <c r="C6" s="5">
        <v>40.4</v>
      </c>
      <c r="E6" s="1" t="s">
        <v>151</v>
      </c>
      <c r="F6" s="1">
        <v>11.9</v>
      </c>
      <c r="G6" s="1">
        <v>16.2</v>
      </c>
    </row>
    <row r="7" spans="1:7" ht="14.25" customHeight="1" x14ac:dyDescent="0.35">
      <c r="A7" s="34" t="s">
        <v>152</v>
      </c>
      <c r="B7" s="27">
        <v>-1.3</v>
      </c>
      <c r="C7" s="5">
        <v>-0.4</v>
      </c>
      <c r="E7" s="1" t="s">
        <v>153</v>
      </c>
      <c r="F7" s="1">
        <v>3264.6</v>
      </c>
      <c r="G7" s="1">
        <v>4102.8</v>
      </c>
    </row>
    <row r="8" spans="1:7" ht="14.25" customHeight="1" x14ac:dyDescent="0.35">
      <c r="A8" s="34" t="s">
        <v>61</v>
      </c>
      <c r="B8" s="27">
        <v>7840.8</v>
      </c>
      <c r="C8" s="5">
        <v>4721.8</v>
      </c>
    </row>
    <row r="9" spans="1:7" ht="14.25" customHeight="1" x14ac:dyDescent="0.35">
      <c r="A9" s="34" t="s">
        <v>154</v>
      </c>
      <c r="B9" s="27">
        <v>-3964.3</v>
      </c>
      <c r="C9" s="5">
        <v>-2202</v>
      </c>
      <c r="E9" s="68" t="s">
        <v>155</v>
      </c>
      <c r="F9" s="69"/>
      <c r="G9" s="70"/>
    </row>
    <row r="10" spans="1:7" ht="14.25" customHeight="1" x14ac:dyDescent="0.35">
      <c r="A10" s="34" t="s">
        <v>156</v>
      </c>
      <c r="B10" s="27" t="s">
        <v>104</v>
      </c>
      <c r="C10" s="5">
        <v>-2.2000000000000002</v>
      </c>
      <c r="E10" s="42" t="s">
        <v>52</v>
      </c>
      <c r="F10" s="42">
        <v>2024</v>
      </c>
      <c r="G10" s="42">
        <v>2023</v>
      </c>
    </row>
    <row r="11" spans="1:7" ht="14.25" customHeight="1" x14ac:dyDescent="0.35">
      <c r="A11" s="34" t="s">
        <v>157</v>
      </c>
      <c r="B11" s="27">
        <v>-220.3</v>
      </c>
      <c r="C11" s="5">
        <v>-173</v>
      </c>
      <c r="E11" s="1" t="s">
        <v>158</v>
      </c>
      <c r="F11" s="1"/>
      <c r="G11" s="1"/>
    </row>
    <row r="12" spans="1:7" ht="14.25" customHeight="1" x14ac:dyDescent="0.35">
      <c r="A12" s="34" t="s">
        <v>159</v>
      </c>
      <c r="B12" s="27">
        <v>119.5</v>
      </c>
      <c r="C12" s="5">
        <v>242.5</v>
      </c>
      <c r="E12" s="1" t="s">
        <v>160</v>
      </c>
      <c r="F12" s="1">
        <v>75926.7</v>
      </c>
      <c r="G12" s="1">
        <v>48687.1</v>
      </c>
    </row>
    <row r="13" spans="1:7" ht="14.25" customHeight="1" x14ac:dyDescent="0.35">
      <c r="A13" s="34" t="s">
        <v>161</v>
      </c>
      <c r="B13" s="27">
        <v>-215.6</v>
      </c>
      <c r="C13" s="5">
        <v>-128.5</v>
      </c>
      <c r="E13" s="1" t="s">
        <v>162</v>
      </c>
      <c r="F13" s="1">
        <v>34539.4</v>
      </c>
      <c r="G13" s="1">
        <v>27239.599999999999</v>
      </c>
    </row>
    <row r="14" spans="1:7" ht="14.25" customHeight="1" x14ac:dyDescent="0.35">
      <c r="A14" s="34" t="s">
        <v>163</v>
      </c>
      <c r="B14" s="27" t="s">
        <v>104</v>
      </c>
      <c r="C14" s="5">
        <v>8.8000000000000007</v>
      </c>
      <c r="E14" s="1" t="s">
        <v>164</v>
      </c>
      <c r="F14" s="1">
        <v>110466.1</v>
      </c>
      <c r="G14" s="1">
        <v>75926.7</v>
      </c>
    </row>
    <row r="15" spans="1:7" ht="14.25" customHeight="1" x14ac:dyDescent="0.35">
      <c r="A15" s="34" t="s">
        <v>165</v>
      </c>
      <c r="B15" s="27" t="s">
        <v>104</v>
      </c>
      <c r="C15" s="5">
        <v>29377.9</v>
      </c>
    </row>
    <row r="16" spans="1:7" ht="14.25" customHeight="1" x14ac:dyDescent="0.35">
      <c r="A16" s="34" t="s">
        <v>166</v>
      </c>
      <c r="B16" s="27">
        <v>-3583</v>
      </c>
      <c r="C16" s="5">
        <v>340</v>
      </c>
    </row>
    <row r="17" spans="1:3" ht="14.25" customHeight="1" x14ac:dyDescent="0.35">
      <c r="A17" s="34" t="s">
        <v>167</v>
      </c>
      <c r="B17" s="27">
        <v>52185.599999999999</v>
      </c>
      <c r="C17" s="5">
        <v>65644.5</v>
      </c>
    </row>
    <row r="18" spans="1:3" ht="14.25" customHeight="1" x14ac:dyDescent="0.35">
      <c r="A18" s="34" t="s">
        <v>168</v>
      </c>
      <c r="B18" s="27"/>
      <c r="C18" s="5"/>
    </row>
    <row r="19" spans="1:3" ht="14.25" customHeight="1" x14ac:dyDescent="0.35">
      <c r="A19" s="34" t="s">
        <v>169</v>
      </c>
      <c r="B19" s="27">
        <v>5655.7</v>
      </c>
      <c r="C19" s="5">
        <v>-5854.5</v>
      </c>
    </row>
    <row r="20" spans="1:3" ht="14.25" customHeight="1" x14ac:dyDescent="0.35">
      <c r="A20" s="34" t="s">
        <v>170</v>
      </c>
      <c r="B20" s="27">
        <v>-14771.4</v>
      </c>
      <c r="C20" s="5">
        <v>-29320.1</v>
      </c>
    </row>
    <row r="21" spans="1:3" ht="14.25" customHeight="1" x14ac:dyDescent="0.35">
      <c r="A21" s="34" t="s">
        <v>171</v>
      </c>
      <c r="B21" s="27">
        <v>-2764.5</v>
      </c>
      <c r="C21" s="5">
        <v>-825.3</v>
      </c>
    </row>
    <row r="22" spans="1:3" ht="14.25" customHeight="1" x14ac:dyDescent="0.35">
      <c r="A22" s="34" t="s">
        <v>172</v>
      </c>
      <c r="B22" s="27">
        <v>-4136.3</v>
      </c>
      <c r="C22" s="5">
        <v>4063.6</v>
      </c>
    </row>
    <row r="23" spans="1:3" ht="14.25" customHeight="1" x14ac:dyDescent="0.35">
      <c r="A23" s="34" t="s">
        <v>173</v>
      </c>
      <c r="B23" s="27">
        <v>-33503.1</v>
      </c>
      <c r="C23" s="5">
        <v>-4985.7</v>
      </c>
    </row>
    <row r="24" spans="1:3" ht="14.25" customHeight="1" x14ac:dyDescent="0.35">
      <c r="A24" s="34" t="s">
        <v>174</v>
      </c>
      <c r="B24" s="27">
        <v>-2171.5</v>
      </c>
      <c r="C24" s="5">
        <v>-19331.8</v>
      </c>
    </row>
    <row r="25" spans="1:3" ht="14.25" customHeight="1" x14ac:dyDescent="0.35">
      <c r="A25" s="34" t="s">
        <v>175</v>
      </c>
      <c r="B25" s="27">
        <v>494.5</v>
      </c>
      <c r="C25" s="5">
        <v>9390.7000000000007</v>
      </c>
    </row>
    <row r="26" spans="1:3" ht="14.25" customHeight="1" x14ac:dyDescent="0.35">
      <c r="A26" s="34" t="s">
        <v>176</v>
      </c>
      <c r="B26" s="27">
        <v>-3418.7</v>
      </c>
      <c r="C26" s="5">
        <v>-4319.8999999999996</v>
      </c>
    </row>
    <row r="27" spans="1:3" ht="14.25" customHeight="1" x14ac:dyDescent="0.35">
      <c r="A27" s="34" t="s">
        <v>177</v>
      </c>
      <c r="B27" s="27">
        <v>-2924.2</v>
      </c>
      <c r="C27" s="5">
        <v>5070.8</v>
      </c>
    </row>
    <row r="28" spans="1:3" ht="14.25" customHeight="1" x14ac:dyDescent="0.35">
      <c r="A28" s="34"/>
      <c r="B28" s="27"/>
      <c r="C28" s="5"/>
    </row>
    <row r="29" spans="1:3" ht="14.25" customHeight="1" x14ac:dyDescent="0.35">
      <c r="A29" s="83" t="s">
        <v>178</v>
      </c>
      <c r="B29" s="69"/>
      <c r="C29" s="78"/>
    </row>
    <row r="30" spans="1:3" ht="14.25" customHeight="1" x14ac:dyDescent="0.35">
      <c r="A30" s="34" t="s">
        <v>179</v>
      </c>
      <c r="B30" s="27">
        <v>-7492.4</v>
      </c>
      <c r="C30" s="5">
        <v>-9624.2999999999993</v>
      </c>
    </row>
    <row r="31" spans="1:3" ht="14.25" customHeight="1" x14ac:dyDescent="0.35">
      <c r="A31" s="34" t="s">
        <v>180</v>
      </c>
      <c r="B31" s="27">
        <v>147.19999999999999</v>
      </c>
      <c r="C31" s="5">
        <v>83</v>
      </c>
    </row>
    <row r="32" spans="1:3" ht="14.25" customHeight="1" x14ac:dyDescent="0.35">
      <c r="A32" s="34" t="s">
        <v>181</v>
      </c>
      <c r="B32" s="27"/>
      <c r="C32" s="5"/>
    </row>
    <row r="33" spans="1:3" ht="14.25" customHeight="1" x14ac:dyDescent="0.35">
      <c r="A33" s="34" t="s">
        <v>182</v>
      </c>
      <c r="B33" s="27"/>
      <c r="C33" s="5"/>
    </row>
    <row r="34" spans="1:3" ht="14.25" customHeight="1" x14ac:dyDescent="0.35">
      <c r="A34" s="34" t="s">
        <v>183</v>
      </c>
      <c r="B34" s="27">
        <v>-15.3</v>
      </c>
      <c r="C34" s="5">
        <v>-159.19999999999999</v>
      </c>
    </row>
    <row r="35" spans="1:3" ht="14.25" customHeight="1" x14ac:dyDescent="0.35">
      <c r="A35" s="34" t="s">
        <v>184</v>
      </c>
      <c r="B35" s="27"/>
      <c r="C35" s="5"/>
    </row>
    <row r="36" spans="1:3" ht="14.25" customHeight="1" x14ac:dyDescent="0.35">
      <c r="A36" s="34" t="s">
        <v>183</v>
      </c>
      <c r="B36" s="27" t="s">
        <v>104</v>
      </c>
      <c r="C36" s="5">
        <v>60</v>
      </c>
    </row>
    <row r="37" spans="1:3" ht="14.25" customHeight="1" x14ac:dyDescent="0.35">
      <c r="A37" s="34" t="s">
        <v>185</v>
      </c>
      <c r="B37" s="27"/>
      <c r="C37" s="5"/>
    </row>
    <row r="38" spans="1:3" ht="14.25" customHeight="1" x14ac:dyDescent="0.35">
      <c r="A38" s="34" t="s">
        <v>186</v>
      </c>
      <c r="B38" s="27">
        <v>-165.1</v>
      </c>
      <c r="C38" s="5" t="s">
        <v>104</v>
      </c>
    </row>
    <row r="39" spans="1:3" ht="14.25" customHeight="1" x14ac:dyDescent="0.35">
      <c r="A39" s="34" t="s">
        <v>187</v>
      </c>
      <c r="B39" s="27">
        <v>-28169.599999999999</v>
      </c>
      <c r="C39" s="5">
        <v>-36929.5</v>
      </c>
    </row>
    <row r="40" spans="1:3" ht="14.25" customHeight="1" x14ac:dyDescent="0.35">
      <c r="A40" s="34" t="s">
        <v>188</v>
      </c>
      <c r="B40" s="27"/>
      <c r="C40" s="5"/>
    </row>
    <row r="41" spans="1:3" ht="14.25" customHeight="1" x14ac:dyDescent="0.35">
      <c r="A41" s="34" t="s">
        <v>187</v>
      </c>
      <c r="B41" s="27">
        <v>30392.5</v>
      </c>
      <c r="C41" s="5">
        <v>36952.5</v>
      </c>
    </row>
    <row r="42" spans="1:3" ht="14.25" customHeight="1" x14ac:dyDescent="0.35">
      <c r="A42" s="34" t="s">
        <v>189</v>
      </c>
      <c r="B42" s="27"/>
      <c r="C42" s="5"/>
    </row>
    <row r="43" spans="1:3" ht="14.25" customHeight="1" x14ac:dyDescent="0.35">
      <c r="A43" s="34" t="s">
        <v>190</v>
      </c>
      <c r="B43" s="27">
        <v>-12</v>
      </c>
      <c r="C43" s="5" t="s">
        <v>104</v>
      </c>
    </row>
    <row r="44" spans="1:3" ht="14.25" customHeight="1" x14ac:dyDescent="0.35">
      <c r="A44" s="34" t="s">
        <v>191</v>
      </c>
      <c r="B44" s="27">
        <v>12</v>
      </c>
      <c r="C44" s="5">
        <v>1043.5</v>
      </c>
    </row>
    <row r="45" spans="1:3" ht="14.25" customHeight="1" x14ac:dyDescent="0.35">
      <c r="A45" s="34" t="s">
        <v>192</v>
      </c>
      <c r="B45" s="27">
        <v>2673.6</v>
      </c>
      <c r="C45" s="5">
        <v>1522.3</v>
      </c>
    </row>
    <row r="46" spans="1:3" ht="14.25" customHeight="1" x14ac:dyDescent="0.35">
      <c r="A46" s="34" t="s">
        <v>193</v>
      </c>
      <c r="B46" s="27">
        <v>-2629.1</v>
      </c>
      <c r="C46" s="5">
        <v>-7051.7</v>
      </c>
    </row>
    <row r="47" spans="1:3" ht="14.25" customHeight="1" x14ac:dyDescent="0.35">
      <c r="A47" s="34"/>
      <c r="B47" s="27"/>
      <c r="C47" s="5"/>
    </row>
    <row r="48" spans="1:3" ht="14.25" customHeight="1" x14ac:dyDescent="0.35">
      <c r="A48" s="83" t="s">
        <v>194</v>
      </c>
      <c r="B48" s="69"/>
      <c r="C48" s="78"/>
    </row>
    <row r="49" spans="1:3" ht="14.25" customHeight="1" x14ac:dyDescent="0.35">
      <c r="A49" s="34" t="s">
        <v>195</v>
      </c>
      <c r="B49" s="27"/>
      <c r="C49" s="5"/>
    </row>
    <row r="50" spans="1:3" ht="14.25" customHeight="1" x14ac:dyDescent="0.35">
      <c r="A50" s="34" t="s">
        <v>196</v>
      </c>
      <c r="B50" s="27">
        <v>145618.4</v>
      </c>
      <c r="C50" s="5">
        <v>82140.5</v>
      </c>
    </row>
    <row r="51" spans="1:3" ht="14.25" customHeight="1" x14ac:dyDescent="0.35">
      <c r="A51" s="34" t="s">
        <v>197</v>
      </c>
      <c r="B51" s="27"/>
      <c r="C51" s="5"/>
    </row>
    <row r="52" spans="1:3" ht="14.25" customHeight="1" x14ac:dyDescent="0.35">
      <c r="A52" s="34" t="s">
        <v>196</v>
      </c>
      <c r="B52" s="27">
        <v>-111125.6</v>
      </c>
      <c r="C52" s="5">
        <v>-54929.599999999999</v>
      </c>
    </row>
    <row r="53" spans="1:3" ht="14.25" customHeight="1" x14ac:dyDescent="0.35">
      <c r="A53" s="34" t="s">
        <v>198</v>
      </c>
      <c r="B53" s="27">
        <v>46.6</v>
      </c>
      <c r="C53" s="5">
        <v>28.7</v>
      </c>
    </row>
    <row r="54" spans="1:3" ht="14.25" customHeight="1" x14ac:dyDescent="0.35">
      <c r="A54" s="34" t="s">
        <v>199</v>
      </c>
      <c r="B54" s="27"/>
      <c r="C54" s="5"/>
    </row>
    <row r="55" spans="1:3" ht="14.25" customHeight="1" x14ac:dyDescent="0.35">
      <c r="A55" s="34" t="s">
        <v>183</v>
      </c>
      <c r="B55" s="27">
        <v>-106.6</v>
      </c>
      <c r="C55" s="5">
        <v>-104.6</v>
      </c>
    </row>
    <row r="56" spans="1:3" ht="14.25" customHeight="1" x14ac:dyDescent="0.35">
      <c r="A56" s="34" t="s">
        <v>187</v>
      </c>
      <c r="B56" s="27">
        <v>-58.1</v>
      </c>
      <c r="C56" s="5">
        <v>-70.599999999999994</v>
      </c>
    </row>
    <row r="57" spans="1:3" ht="14.25" customHeight="1" x14ac:dyDescent="0.35">
      <c r="A57" s="34" t="s">
        <v>200</v>
      </c>
      <c r="B57" s="27"/>
      <c r="C57" s="5"/>
    </row>
    <row r="58" spans="1:3" ht="14.25" customHeight="1" x14ac:dyDescent="0.35">
      <c r="A58" s="34" t="s">
        <v>183</v>
      </c>
      <c r="B58" s="27">
        <v>-141.30000000000001</v>
      </c>
      <c r="C58" s="5">
        <v>-150</v>
      </c>
    </row>
    <row r="59" spans="1:3" ht="14.25" customHeight="1" x14ac:dyDescent="0.35">
      <c r="A59" s="34" t="s">
        <v>187</v>
      </c>
      <c r="B59" s="27">
        <v>-18.899999999999999</v>
      </c>
      <c r="C59" s="5">
        <v>-22.9</v>
      </c>
    </row>
    <row r="60" spans="1:3" ht="14.25" customHeight="1" x14ac:dyDescent="0.35">
      <c r="A60" s="34" t="s">
        <v>201</v>
      </c>
      <c r="B60" s="27">
        <v>-493.3</v>
      </c>
      <c r="C60" s="5">
        <v>-9.6</v>
      </c>
    </row>
    <row r="61" spans="1:3" ht="14.25" customHeight="1" x14ac:dyDescent="0.35">
      <c r="A61" s="34" t="s">
        <v>202</v>
      </c>
      <c r="B61" s="27">
        <v>-28981.7</v>
      </c>
      <c r="C61" s="5">
        <v>-25188.799999999999</v>
      </c>
    </row>
    <row r="62" spans="1:3" ht="14.25" customHeight="1" x14ac:dyDescent="0.35">
      <c r="A62" s="34" t="s">
        <v>203</v>
      </c>
      <c r="B62" s="27">
        <v>4739.5</v>
      </c>
      <c r="C62" s="5">
        <v>1693.1</v>
      </c>
    </row>
    <row r="63" spans="1:3" ht="14.25" customHeight="1" x14ac:dyDescent="0.35">
      <c r="A63" s="34" t="s">
        <v>204</v>
      </c>
      <c r="B63" s="27">
        <v>-813.8</v>
      </c>
      <c r="C63" s="5">
        <v>-287.8</v>
      </c>
    </row>
    <row r="64" spans="1:3" ht="14.25" customHeight="1" x14ac:dyDescent="0.35">
      <c r="A64" s="34" t="s">
        <v>205</v>
      </c>
      <c r="B64" s="27">
        <v>4102.8</v>
      </c>
      <c r="C64" s="5">
        <v>4195.3</v>
      </c>
    </row>
    <row r="65" spans="1:3" ht="14.25" customHeight="1" x14ac:dyDescent="0.35">
      <c r="A65" s="34" t="s">
        <v>206</v>
      </c>
      <c r="B65" s="27">
        <v>-24.4</v>
      </c>
      <c r="C65" s="5">
        <v>195.3</v>
      </c>
    </row>
    <row r="66" spans="1:3" ht="14.25" customHeight="1" x14ac:dyDescent="0.35">
      <c r="A66" s="43" t="s">
        <v>207</v>
      </c>
      <c r="B66" s="29">
        <v>3264.6</v>
      </c>
      <c r="C66" s="11">
        <v>4102.8</v>
      </c>
    </row>
    <row r="67" spans="1:3" ht="14.25" customHeight="1" x14ac:dyDescent="0.35"/>
    <row r="68" spans="1:3" ht="14.25" customHeight="1" x14ac:dyDescent="0.35"/>
    <row r="69" spans="1:3" ht="14.25" customHeight="1" x14ac:dyDescent="0.35"/>
    <row r="70" spans="1:3" ht="14.25" customHeight="1" x14ac:dyDescent="0.35"/>
    <row r="71" spans="1:3" ht="14.25" customHeight="1" x14ac:dyDescent="0.35"/>
    <row r="72" spans="1:3" ht="14.25" customHeight="1" x14ac:dyDescent="0.35"/>
    <row r="73" spans="1:3" ht="14.25" customHeight="1" x14ac:dyDescent="0.35"/>
    <row r="74" spans="1:3" ht="14.25" customHeight="1" x14ac:dyDescent="0.35"/>
    <row r="75" spans="1:3" ht="14.25" customHeight="1" x14ac:dyDescent="0.35"/>
    <row r="76" spans="1:3" ht="14.25" customHeight="1" x14ac:dyDescent="0.35"/>
    <row r="77" spans="1:3" ht="14.25" customHeight="1" x14ac:dyDescent="0.35"/>
    <row r="78" spans="1:3" ht="14.25" customHeight="1" x14ac:dyDescent="0.35"/>
    <row r="79" spans="1:3" ht="14.25" customHeight="1" x14ac:dyDescent="0.35"/>
    <row r="80" spans="1:3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48:C48"/>
    <mergeCell ref="E1:G1"/>
    <mergeCell ref="A2:C2"/>
    <mergeCell ref="E2:G2"/>
    <mergeCell ref="E9:G9"/>
    <mergeCell ref="A29:C29"/>
  </mergeCells>
  <conditionalFormatting sqref="A1:C1 A2 A3:C28 A29 A30:C47 A48 A49:C66">
    <cfRule type="cellIs" dxfId="1" priority="1" operator="lessThan">
      <formula>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53125" defaultRowHeight="15" customHeight="1" x14ac:dyDescent="0.35"/>
  <cols>
    <col min="1" max="1" width="51.54296875" customWidth="1"/>
    <col min="2" max="2" width="14" customWidth="1"/>
    <col min="3" max="3" width="16" customWidth="1"/>
    <col min="4" max="4" width="14.453125" customWidth="1"/>
    <col min="5" max="5" width="16" customWidth="1"/>
    <col min="6" max="7" width="8.7265625" customWidth="1"/>
    <col min="8" max="8" width="74.26953125" customWidth="1"/>
    <col min="9" max="9" width="14.453125" customWidth="1"/>
    <col min="10" max="10" width="16" customWidth="1"/>
    <col min="11" max="11" width="14.453125" customWidth="1"/>
    <col min="12" max="12" width="16" customWidth="1"/>
    <col min="13" max="26" width="8.7265625" customWidth="1"/>
  </cols>
  <sheetData>
    <row r="1" spans="1:26" ht="14.25" customHeight="1" x14ac:dyDescent="0.35">
      <c r="A1" s="44" t="s">
        <v>52</v>
      </c>
      <c r="B1" s="44">
        <v>2024</v>
      </c>
      <c r="C1" s="44" t="s">
        <v>208</v>
      </c>
      <c r="D1" s="44">
        <v>2023</v>
      </c>
      <c r="E1" s="44" t="s">
        <v>208</v>
      </c>
      <c r="H1" s="44" t="s">
        <v>52</v>
      </c>
      <c r="I1" s="44">
        <v>2024</v>
      </c>
      <c r="J1" s="44" t="s">
        <v>208</v>
      </c>
      <c r="K1" s="44">
        <v>2023</v>
      </c>
      <c r="L1" s="44" t="s">
        <v>208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 x14ac:dyDescent="0.35">
      <c r="A2" s="84" t="s">
        <v>88</v>
      </c>
      <c r="B2" s="69"/>
      <c r="C2" s="69"/>
      <c r="D2" s="69"/>
      <c r="E2" s="70"/>
      <c r="F2" s="12"/>
      <c r="G2" s="12"/>
      <c r="H2" s="85" t="s">
        <v>89</v>
      </c>
      <c r="I2" s="69"/>
      <c r="J2" s="69"/>
      <c r="K2" s="70"/>
      <c r="L2" s="45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25" customHeight="1" x14ac:dyDescent="0.35">
      <c r="A3" s="32" t="s">
        <v>90</v>
      </c>
      <c r="B3" s="32"/>
      <c r="C3" s="32"/>
      <c r="D3" s="32"/>
      <c r="E3" s="32"/>
      <c r="F3" s="12"/>
      <c r="G3" s="12"/>
      <c r="H3" s="86" t="s">
        <v>91</v>
      </c>
      <c r="I3" s="69"/>
      <c r="J3" s="69"/>
      <c r="K3" s="70"/>
      <c r="L3" s="46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25" customHeight="1" x14ac:dyDescent="0.35">
      <c r="A4" s="27" t="s">
        <v>92</v>
      </c>
      <c r="B4" s="27">
        <v>45391.4</v>
      </c>
      <c r="C4" s="47">
        <f t="shared" ref="C4:C10" si="0">B4/$B$32</f>
        <v>0.11053605777601687</v>
      </c>
      <c r="D4" s="27">
        <v>47332.5</v>
      </c>
      <c r="E4" s="47">
        <f t="shared" ref="E4:E9" si="1">D4/$D$32</f>
        <v>0.11548035754324062</v>
      </c>
      <c r="F4" s="12"/>
      <c r="G4" s="12"/>
      <c r="H4" s="27" t="s">
        <v>93</v>
      </c>
      <c r="I4" s="27">
        <v>2399.3000000000002</v>
      </c>
      <c r="J4" s="47">
        <f t="shared" ref="J4:J6" si="2">I4/$I$31</f>
        <v>5.8427182995456689E-3</v>
      </c>
      <c r="K4" s="27">
        <v>2399.3000000000002</v>
      </c>
      <c r="L4" s="47">
        <f t="shared" ref="L4:L6" si="3">K4/$K$31</f>
        <v>5.8537373232661963E-3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25" customHeight="1" x14ac:dyDescent="0.35">
      <c r="A5" s="27" t="s">
        <v>94</v>
      </c>
      <c r="B5" s="27">
        <v>3882.4</v>
      </c>
      <c r="C5" s="47">
        <f t="shared" si="0"/>
        <v>9.454328148274958E-3</v>
      </c>
      <c r="D5" s="27">
        <v>3288.7</v>
      </c>
      <c r="E5" s="47">
        <f t="shared" si="1"/>
        <v>8.0236677093425326E-3</v>
      </c>
      <c r="F5" s="12"/>
      <c r="G5" s="12"/>
      <c r="H5" s="27" t="s">
        <v>95</v>
      </c>
      <c r="I5" s="27">
        <v>234544.7</v>
      </c>
      <c r="J5" s="47">
        <f t="shared" si="2"/>
        <v>0.57115767546844876</v>
      </c>
      <c r="K5" s="27">
        <v>235084.3</v>
      </c>
      <c r="L5" s="47">
        <f t="shared" si="3"/>
        <v>0.57355134456879397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25" customHeight="1" x14ac:dyDescent="0.35">
      <c r="A6" s="27" t="s">
        <v>96</v>
      </c>
      <c r="B6" s="27">
        <v>1208</v>
      </c>
      <c r="C6" s="47">
        <f t="shared" si="0"/>
        <v>2.9416928711920843E-3</v>
      </c>
      <c r="D6" s="27">
        <v>1208</v>
      </c>
      <c r="E6" s="47">
        <f t="shared" si="1"/>
        <v>2.947240731257269E-3</v>
      </c>
      <c r="F6" s="12"/>
      <c r="G6" s="12"/>
      <c r="H6" s="36" t="s">
        <v>97</v>
      </c>
      <c r="I6" s="36">
        <v>236944</v>
      </c>
      <c r="J6" s="48">
        <f t="shared" si="2"/>
        <v>0.57700039376799439</v>
      </c>
      <c r="K6" s="36">
        <v>237483.6</v>
      </c>
      <c r="L6" s="48">
        <f t="shared" si="3"/>
        <v>0.57940508189206019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25" customHeight="1" x14ac:dyDescent="0.35">
      <c r="A7" s="27" t="s">
        <v>98</v>
      </c>
      <c r="B7" s="27">
        <v>30768</v>
      </c>
      <c r="C7" s="47">
        <f t="shared" si="0"/>
        <v>7.4925501871554681E-2</v>
      </c>
      <c r="D7" s="27">
        <v>38576.199999999997</v>
      </c>
      <c r="E7" s="47">
        <f t="shared" si="1"/>
        <v>9.4117009848614777E-2</v>
      </c>
      <c r="F7" s="12"/>
      <c r="G7" s="12"/>
      <c r="H7" s="87"/>
      <c r="I7" s="69"/>
      <c r="J7" s="69"/>
      <c r="K7" s="70"/>
      <c r="L7" s="27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 x14ac:dyDescent="0.35">
      <c r="A8" s="27" t="s">
        <v>99</v>
      </c>
      <c r="B8" s="27">
        <v>3778.7</v>
      </c>
      <c r="C8" s="47">
        <f t="shared" si="0"/>
        <v>9.2018003744813986E-3</v>
      </c>
      <c r="D8" s="27">
        <v>5240.3999999999996</v>
      </c>
      <c r="E8" s="47">
        <f t="shared" si="1"/>
        <v>1.2785364510000488E-2</v>
      </c>
      <c r="F8" s="12"/>
      <c r="G8" s="12"/>
      <c r="H8" s="86" t="s">
        <v>100</v>
      </c>
      <c r="I8" s="69"/>
      <c r="J8" s="69"/>
      <c r="K8" s="70"/>
      <c r="L8" s="46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25" customHeight="1" x14ac:dyDescent="0.35">
      <c r="A9" s="27" t="s">
        <v>101</v>
      </c>
      <c r="B9" s="27">
        <v>123985.8</v>
      </c>
      <c r="C9" s="47">
        <f t="shared" si="0"/>
        <v>0.30192727151411219</v>
      </c>
      <c r="D9" s="27">
        <v>123985.8</v>
      </c>
      <c r="E9" s="47">
        <f t="shared" si="1"/>
        <v>0.30249668862377277</v>
      </c>
      <c r="F9" s="12"/>
      <c r="G9" s="12"/>
      <c r="H9" s="32" t="s">
        <v>102</v>
      </c>
      <c r="I9" s="27"/>
      <c r="J9" s="27"/>
      <c r="K9" s="27"/>
      <c r="L9" s="27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25" customHeight="1" x14ac:dyDescent="0.35">
      <c r="A10" s="27" t="s">
        <v>103</v>
      </c>
      <c r="B10" s="27">
        <v>245.1</v>
      </c>
      <c r="C10" s="47">
        <f t="shared" si="0"/>
        <v>5.9686169100097667E-4</v>
      </c>
      <c r="D10" s="27" t="s">
        <v>104</v>
      </c>
      <c r="E10" s="47"/>
      <c r="F10" s="12"/>
      <c r="G10" s="12"/>
      <c r="H10" s="27" t="s">
        <v>105</v>
      </c>
      <c r="I10" s="27"/>
      <c r="J10" s="27"/>
      <c r="K10" s="27"/>
      <c r="L10" s="27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25" customHeight="1" x14ac:dyDescent="0.35">
      <c r="A11" s="27" t="s">
        <v>106</v>
      </c>
      <c r="B11" s="27"/>
      <c r="C11" s="47"/>
      <c r="D11" s="27"/>
      <c r="E11" s="47"/>
      <c r="F11" s="12"/>
      <c r="G11" s="12"/>
      <c r="H11" s="27" t="s">
        <v>107</v>
      </c>
      <c r="I11" s="27">
        <v>110360.1</v>
      </c>
      <c r="J11" s="47">
        <f t="shared" ref="J11:J16" si="4">I11/$I$31</f>
        <v>0.26874629092222313</v>
      </c>
      <c r="K11" s="27">
        <v>75867.3</v>
      </c>
      <c r="L11" s="47">
        <f t="shared" ref="L11:L16" si="5">K11/$K$31</f>
        <v>0.1850986727901611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25" customHeight="1" x14ac:dyDescent="0.35">
      <c r="A12" s="27" t="s">
        <v>108</v>
      </c>
      <c r="B12" s="27">
        <v>68.8</v>
      </c>
      <c r="C12" s="47">
        <f t="shared" ref="C12:C18" si="6">B12/$B$32</f>
        <v>1.6754012378974783E-4</v>
      </c>
      <c r="D12" s="27">
        <v>144</v>
      </c>
      <c r="E12" s="47">
        <f t="shared" ref="E12:E18" si="7">D12/$D$32</f>
        <v>3.5132670968629693E-4</v>
      </c>
      <c r="F12" s="12"/>
      <c r="G12" s="12"/>
      <c r="H12" s="27" t="s">
        <v>109</v>
      </c>
      <c r="I12" s="27">
        <v>1669.1</v>
      </c>
      <c r="J12" s="47">
        <f t="shared" si="4"/>
        <v>4.0645526252538972E-3</v>
      </c>
      <c r="K12" s="27">
        <v>1815.1</v>
      </c>
      <c r="L12" s="47">
        <f t="shared" si="5"/>
        <v>4.4284243802194274E-3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25" customHeight="1" x14ac:dyDescent="0.35">
      <c r="A13" s="27" t="s">
        <v>110</v>
      </c>
      <c r="B13" s="27">
        <v>33869</v>
      </c>
      <c r="C13" s="47">
        <f t="shared" si="6"/>
        <v>8.2476983323182707E-2</v>
      </c>
      <c r="D13" s="27">
        <v>6327</v>
      </c>
      <c r="E13" s="47">
        <f t="shared" si="7"/>
        <v>1.5436417306841673E-2</v>
      </c>
      <c r="F13" s="12"/>
      <c r="G13" s="12"/>
      <c r="H13" s="27" t="s">
        <v>111</v>
      </c>
      <c r="I13" s="27">
        <v>10772</v>
      </c>
      <c r="J13" s="47">
        <f t="shared" si="4"/>
        <v>2.6231718218941335E-2</v>
      </c>
      <c r="K13" s="27">
        <v>3912.2</v>
      </c>
      <c r="L13" s="47">
        <f t="shared" si="5"/>
        <v>9.5448635669078529E-3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25" customHeight="1" x14ac:dyDescent="0.35">
      <c r="A14" s="27" t="s">
        <v>112</v>
      </c>
      <c r="B14" s="27">
        <v>520.4</v>
      </c>
      <c r="C14" s="47">
        <f t="shared" si="6"/>
        <v>1.2672657037817556E-3</v>
      </c>
      <c r="D14" s="27">
        <v>570.5</v>
      </c>
      <c r="E14" s="47">
        <f t="shared" si="7"/>
        <v>1.3918881102502249E-3</v>
      </c>
      <c r="F14" s="12"/>
      <c r="G14" s="12"/>
      <c r="H14" s="27" t="s">
        <v>113</v>
      </c>
      <c r="I14" s="27">
        <v>4254</v>
      </c>
      <c r="J14" s="47">
        <f t="shared" si="4"/>
        <v>1.0359239630837026E-2</v>
      </c>
      <c r="K14" s="27">
        <v>5074.5</v>
      </c>
      <c r="L14" s="47">
        <f t="shared" si="5"/>
        <v>1.2380606863216069E-2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25" customHeight="1" x14ac:dyDescent="0.35">
      <c r="A15" s="27" t="s">
        <v>114</v>
      </c>
      <c r="B15" s="27">
        <v>9945.2000000000007</v>
      </c>
      <c r="C15" s="47">
        <f t="shared" si="6"/>
        <v>2.4218314522002914E-2</v>
      </c>
      <c r="D15" s="27">
        <v>10323.9</v>
      </c>
      <c r="E15" s="47">
        <f t="shared" si="7"/>
        <v>2.5187929292571951E-2</v>
      </c>
      <c r="F15" s="12"/>
      <c r="G15" s="12"/>
      <c r="H15" s="27" t="s">
        <v>115</v>
      </c>
      <c r="I15" s="27">
        <v>2197.3000000000002</v>
      </c>
      <c r="J15" s="47">
        <f t="shared" si="4"/>
        <v>5.3508127035350721E-3</v>
      </c>
      <c r="K15" s="27">
        <v>2061.6</v>
      </c>
      <c r="L15" s="47">
        <f t="shared" si="5"/>
        <v>5.0298273936754843E-3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25" customHeight="1" x14ac:dyDescent="0.35">
      <c r="A16" s="27" t="s">
        <v>116</v>
      </c>
      <c r="B16" s="27">
        <v>5033.8</v>
      </c>
      <c r="C16" s="47">
        <f t="shared" si="6"/>
        <v>1.2258190045535361E-2</v>
      </c>
      <c r="D16" s="27">
        <v>5861.3</v>
      </c>
      <c r="E16" s="47">
        <f t="shared" si="7"/>
        <v>1.4300216968640918E-2</v>
      </c>
      <c r="F16" s="12"/>
      <c r="G16" s="12"/>
      <c r="H16" s="36" t="s">
        <v>117</v>
      </c>
      <c r="I16" s="36">
        <v>129252.5</v>
      </c>
      <c r="J16" s="48">
        <f t="shared" si="4"/>
        <v>0.31475261410079047</v>
      </c>
      <c r="K16" s="36">
        <v>88730.7</v>
      </c>
      <c r="L16" s="48">
        <f t="shared" si="5"/>
        <v>0.2164823949941799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25" customHeight="1" x14ac:dyDescent="0.35">
      <c r="A17" s="27" t="s">
        <v>118</v>
      </c>
      <c r="B17" s="27">
        <v>2407.1999999999998</v>
      </c>
      <c r="C17" s="47">
        <f t="shared" si="6"/>
        <v>5.8619561916668748E-3</v>
      </c>
      <c r="D17" s="27">
        <v>2365.1</v>
      </c>
      <c r="E17" s="47">
        <f t="shared" si="7"/>
        <v>5.7702972297157002E-3</v>
      </c>
      <c r="F17" s="12"/>
      <c r="G17" s="12"/>
      <c r="H17" s="32"/>
      <c r="I17" s="32"/>
      <c r="J17" s="47"/>
      <c r="K17" s="32"/>
      <c r="L17" s="47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 x14ac:dyDescent="0.35">
      <c r="A18" s="36" t="s">
        <v>119</v>
      </c>
      <c r="B18" s="36">
        <v>261103.8</v>
      </c>
      <c r="C18" s="48">
        <f t="shared" si="6"/>
        <v>0.63583376415659243</v>
      </c>
      <c r="D18" s="36">
        <v>245223.4</v>
      </c>
      <c r="E18" s="48">
        <f t="shared" si="7"/>
        <v>0.59828840458393517</v>
      </c>
      <c r="F18" s="12"/>
      <c r="G18" s="12"/>
      <c r="H18" s="32" t="s">
        <v>120</v>
      </c>
      <c r="I18" s="27"/>
      <c r="J18" s="47"/>
      <c r="K18" s="27"/>
      <c r="L18" s="4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25" customHeight="1" x14ac:dyDescent="0.35">
      <c r="A19" s="27"/>
      <c r="B19" s="27"/>
      <c r="C19" s="47"/>
      <c r="D19" s="27"/>
      <c r="E19" s="47"/>
      <c r="F19" s="12"/>
      <c r="G19" s="12"/>
      <c r="H19" s="27" t="s">
        <v>105</v>
      </c>
      <c r="I19" s="27"/>
      <c r="J19" s="47"/>
      <c r="K19" s="27"/>
      <c r="L19" s="47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25" customHeight="1" x14ac:dyDescent="0.35">
      <c r="A20" s="32" t="s">
        <v>121</v>
      </c>
      <c r="B20" s="32"/>
      <c r="C20" s="47"/>
      <c r="D20" s="32"/>
      <c r="E20" s="47"/>
      <c r="F20" s="12"/>
      <c r="G20" s="12"/>
      <c r="H20" s="27" t="s">
        <v>107</v>
      </c>
      <c r="I20" s="27">
        <v>106</v>
      </c>
      <c r="J20" s="47">
        <f>I20/$I$31</f>
        <v>2.5812867909466965E-4</v>
      </c>
      <c r="K20" s="27">
        <v>59.4</v>
      </c>
      <c r="L20" s="47">
        <f>K20/$K$31</f>
        <v>1.449222677455975E-4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4.25" customHeight="1" x14ac:dyDescent="0.35">
      <c r="A21" s="27" t="s">
        <v>122</v>
      </c>
      <c r="B21" s="27">
        <v>34236.199999999997</v>
      </c>
      <c r="C21" s="47">
        <f>B21/$B$32</f>
        <v>8.3371180030386113E-2</v>
      </c>
      <c r="D21" s="27">
        <v>39891.9</v>
      </c>
      <c r="E21" s="47">
        <f t="shared" ref="E21:E32" si="8">D21/$D$32</f>
        <v>9.7327013681491589E-2</v>
      </c>
      <c r="F21" s="12"/>
      <c r="G21" s="12"/>
      <c r="H21" s="27" t="s">
        <v>123</v>
      </c>
      <c r="I21" s="27"/>
      <c r="J21" s="47"/>
      <c r="K21" s="27"/>
      <c r="L21" s="47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 x14ac:dyDescent="0.35">
      <c r="A22" s="27" t="s">
        <v>124</v>
      </c>
      <c r="B22" s="27"/>
      <c r="C22" s="47"/>
      <c r="D22" s="27"/>
      <c r="E22" s="47">
        <f t="shared" si="8"/>
        <v>0</v>
      </c>
      <c r="F22" s="12"/>
      <c r="G22" s="12"/>
      <c r="H22" s="27" t="s">
        <v>125</v>
      </c>
      <c r="I22" s="27">
        <v>704.6</v>
      </c>
      <c r="J22" s="47">
        <f t="shared" ref="J22:J31" si="9">I22/$I$31</f>
        <v>1.715825163114191E-3</v>
      </c>
      <c r="K22" s="27">
        <v>1194.2</v>
      </c>
      <c r="L22" s="47">
        <f t="shared" ref="L22:L31" si="10">K22/$K$31</f>
        <v>2.9135719215789987E-3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4.25" customHeight="1" x14ac:dyDescent="0.35">
      <c r="A23" s="27" t="s">
        <v>108</v>
      </c>
      <c r="B23" s="27"/>
      <c r="C23" s="47"/>
      <c r="D23" s="27">
        <v>2002.6</v>
      </c>
      <c r="E23" s="47">
        <f t="shared" si="8"/>
        <v>4.8858810334567937E-3</v>
      </c>
      <c r="F23" s="12"/>
      <c r="G23" s="12"/>
      <c r="H23" s="27" t="s">
        <v>126</v>
      </c>
      <c r="I23" s="27">
        <v>25491.200000000001</v>
      </c>
      <c r="J23" s="47">
        <f t="shared" si="9"/>
        <v>6.2075564005075877E-2</v>
      </c>
      <c r="K23" s="27">
        <v>30061.599999999999</v>
      </c>
      <c r="L23" s="47">
        <f t="shared" si="10"/>
        <v>7.3343354277122103E-2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4.25" customHeight="1" x14ac:dyDescent="0.35">
      <c r="A24" s="27" t="s">
        <v>127</v>
      </c>
      <c r="B24" s="27">
        <v>88341.6</v>
      </c>
      <c r="C24" s="47">
        <f t="shared" ref="C24:C32" si="11">B24/$B$32</f>
        <v>0.21512736336895916</v>
      </c>
      <c r="D24" s="27">
        <v>71250.2</v>
      </c>
      <c r="E24" s="47">
        <f t="shared" si="8"/>
        <v>0.17383401618396246</v>
      </c>
      <c r="F24" s="12"/>
      <c r="G24" s="12"/>
      <c r="H24" s="27" t="s">
        <v>128</v>
      </c>
      <c r="I24" s="27">
        <v>133.9</v>
      </c>
      <c r="J24" s="47">
        <f t="shared" si="9"/>
        <v>3.2607009557336099E-4</v>
      </c>
      <c r="K24" s="27">
        <v>166.4</v>
      </c>
      <c r="L24" s="47">
        <f t="shared" si="10"/>
        <v>4.0597753119305424E-4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4.25" customHeight="1" x14ac:dyDescent="0.35">
      <c r="A25" s="27" t="s">
        <v>129</v>
      </c>
      <c r="B25" s="27">
        <v>3264.6</v>
      </c>
      <c r="C25" s="47">
        <f t="shared" si="11"/>
        <v>7.9498762808722506E-3</v>
      </c>
      <c r="D25" s="27">
        <v>4102.8</v>
      </c>
      <c r="E25" s="47">
        <f t="shared" si="8"/>
        <v>1.0009883503478744E-2</v>
      </c>
      <c r="F25" s="12"/>
      <c r="G25" s="12"/>
      <c r="H25" s="27" t="s">
        <v>130</v>
      </c>
      <c r="I25" s="27">
        <v>7188.1</v>
      </c>
      <c r="J25" s="47">
        <f t="shared" si="9"/>
        <v>1.7504290171701839E-2</v>
      </c>
      <c r="K25" s="27">
        <v>40640.1</v>
      </c>
      <c r="L25" s="47">
        <f t="shared" si="10"/>
        <v>9.9152448710569968E-2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4.25" customHeight="1" x14ac:dyDescent="0.35">
      <c r="A26" s="27" t="s">
        <v>131</v>
      </c>
      <c r="B26" s="27">
        <v>119.3</v>
      </c>
      <c r="C26" s="47">
        <f t="shared" si="11"/>
        <v>2.9051652279239704E-4</v>
      </c>
      <c r="D26" s="27">
        <v>110</v>
      </c>
      <c r="E26" s="47">
        <f t="shared" si="8"/>
        <v>2.6837456989925462E-4</v>
      </c>
      <c r="F26" s="12"/>
      <c r="G26" s="12"/>
      <c r="H26" s="27" t="s">
        <v>132</v>
      </c>
      <c r="I26" s="27">
        <v>4730.5</v>
      </c>
      <c r="J26" s="47">
        <f t="shared" si="9"/>
        <v>1.1519601098654101E-2</v>
      </c>
      <c r="K26" s="27">
        <v>3437.7</v>
      </c>
      <c r="L26" s="47">
        <f t="shared" si="10"/>
        <v>8.3871932631151593E-3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4.25" customHeight="1" x14ac:dyDescent="0.35">
      <c r="A27" s="27" t="s">
        <v>133</v>
      </c>
      <c r="B27" s="27">
        <v>6555.1</v>
      </c>
      <c r="C27" s="47">
        <f t="shared" si="11"/>
        <v>1.5962823625787444E-2</v>
      </c>
      <c r="D27" s="27">
        <v>33470.300000000003</v>
      </c>
      <c r="E27" s="47">
        <f t="shared" si="8"/>
        <v>8.1659794244536565E-2</v>
      </c>
      <c r="F27" s="12"/>
      <c r="G27" s="12"/>
      <c r="H27" s="27" t="s">
        <v>115</v>
      </c>
      <c r="I27" s="27">
        <v>6090.8</v>
      </c>
      <c r="J27" s="47">
        <f t="shared" si="9"/>
        <v>1.4832171307828433E-2</v>
      </c>
      <c r="K27" s="27">
        <v>8095</v>
      </c>
      <c r="L27" s="47">
        <f t="shared" si="10"/>
        <v>1.9749928575767874E-2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.25" customHeight="1" x14ac:dyDescent="0.35">
      <c r="A28" s="27" t="s">
        <v>134</v>
      </c>
      <c r="B28" s="27">
        <v>7695.5</v>
      </c>
      <c r="C28" s="47">
        <f t="shared" si="11"/>
        <v>1.8739898584651228E-2</v>
      </c>
      <c r="D28" s="27">
        <v>5824</v>
      </c>
      <c r="E28" s="47">
        <f t="shared" si="8"/>
        <v>1.4209213591756899E-2</v>
      </c>
      <c r="F28" s="12"/>
      <c r="G28" s="12"/>
      <c r="H28" s="36" t="s">
        <v>135</v>
      </c>
      <c r="I28" s="36">
        <v>44445.1</v>
      </c>
      <c r="J28" s="48">
        <f t="shared" si="9"/>
        <v>0.10823165052104247</v>
      </c>
      <c r="K28" s="36">
        <v>83654.399999999994</v>
      </c>
      <c r="L28" s="48">
        <f t="shared" si="10"/>
        <v>0.20409739654709275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4.25" customHeight="1" x14ac:dyDescent="0.35">
      <c r="A29" s="27" t="s">
        <v>136</v>
      </c>
      <c r="B29" s="27">
        <v>8913.1</v>
      </c>
      <c r="C29" s="47">
        <f t="shared" si="11"/>
        <v>2.1704969147534909E-2</v>
      </c>
      <c r="D29" s="27">
        <v>7785.7</v>
      </c>
      <c r="E29" s="47">
        <f t="shared" si="8"/>
        <v>1.8995308080587515E-2</v>
      </c>
      <c r="F29" s="12"/>
      <c r="G29" s="12"/>
      <c r="H29" s="27" t="s">
        <v>137</v>
      </c>
      <c r="I29" s="27">
        <v>6.3</v>
      </c>
      <c r="J29" s="49">
        <f t="shared" si="9"/>
        <v>1.5341610172607723E-5</v>
      </c>
      <c r="K29" s="27">
        <v>6.2</v>
      </c>
      <c r="L29" s="49">
        <f t="shared" si="10"/>
        <v>1.5126566667048897E-5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4.25" customHeight="1" x14ac:dyDescent="0.35">
      <c r="A30" s="36" t="s">
        <v>138</v>
      </c>
      <c r="B30" s="36">
        <v>149125.4</v>
      </c>
      <c r="C30" s="48">
        <f t="shared" si="11"/>
        <v>0.36314662756098348</v>
      </c>
      <c r="D30" s="36">
        <v>164437.5</v>
      </c>
      <c r="E30" s="48">
        <f t="shared" si="8"/>
        <v>0.40118948488916983</v>
      </c>
      <c r="F30" s="12"/>
      <c r="G30" s="12"/>
      <c r="H30" s="32" t="s">
        <v>139</v>
      </c>
      <c r="I30" s="32">
        <v>173703.9</v>
      </c>
      <c r="J30" s="47">
        <f t="shared" si="9"/>
        <v>0.42299960623200555</v>
      </c>
      <c r="K30" s="32">
        <v>172391.3</v>
      </c>
      <c r="L30" s="47">
        <f t="shared" si="10"/>
        <v>0.4205949181079397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.25" customHeight="1" x14ac:dyDescent="0.35">
      <c r="A31" s="27" t="s">
        <v>140</v>
      </c>
      <c r="B31" s="27">
        <v>418.7</v>
      </c>
      <c r="C31" s="47">
        <f t="shared" si="11"/>
        <v>1.0196082824239451E-3</v>
      </c>
      <c r="D31" s="27">
        <v>214</v>
      </c>
      <c r="E31" s="47">
        <f t="shared" si="8"/>
        <v>5.2211052689491355E-4</v>
      </c>
      <c r="F31" s="12"/>
      <c r="G31" s="12"/>
      <c r="H31" s="36" t="s">
        <v>141</v>
      </c>
      <c r="I31" s="36">
        <v>410647.9</v>
      </c>
      <c r="J31" s="50">
        <f t="shared" si="9"/>
        <v>1</v>
      </c>
      <c r="K31" s="36">
        <v>409874.9</v>
      </c>
      <c r="L31" s="50">
        <f t="shared" si="10"/>
        <v>1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.25" customHeight="1" x14ac:dyDescent="0.35">
      <c r="A32" s="36" t="s">
        <v>142</v>
      </c>
      <c r="B32" s="36">
        <v>410647.9</v>
      </c>
      <c r="C32" s="48">
        <f t="shared" si="11"/>
        <v>1</v>
      </c>
      <c r="D32" s="36">
        <v>409874.9</v>
      </c>
      <c r="E32" s="48">
        <f t="shared" si="8"/>
        <v>1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.2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 x14ac:dyDescent="0.35">
      <c r="A34" s="15"/>
      <c r="B34" s="15"/>
      <c r="C34" s="15"/>
      <c r="D34" s="15"/>
      <c r="E34" s="15"/>
      <c r="F34" s="15"/>
      <c r="G34" s="15"/>
      <c r="H34" s="15"/>
      <c r="I34" s="15" t="s">
        <v>209</v>
      </c>
      <c r="J34" s="15">
        <v>127310.39999999999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 x14ac:dyDescent="0.3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 x14ac:dyDescent="0.3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 x14ac:dyDescent="0.3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 x14ac:dyDescent="0.3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 x14ac:dyDescent="0.3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 x14ac:dyDescent="0.3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 x14ac:dyDescent="0.3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 x14ac:dyDescent="0.3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 x14ac:dyDescent="0.3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 x14ac:dyDescent="0.3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 x14ac:dyDescent="0.3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 x14ac:dyDescent="0.3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 x14ac:dyDescent="0.3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 x14ac:dyDescent="0.3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 x14ac:dyDescent="0.3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 x14ac:dyDescent="0.3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 x14ac:dyDescent="0.3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 x14ac:dyDescent="0.3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 x14ac:dyDescent="0.3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 x14ac:dyDescent="0.3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 x14ac:dyDescent="0.3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 x14ac:dyDescent="0.3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 x14ac:dyDescent="0.3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 x14ac:dyDescent="0.3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 x14ac:dyDescent="0.3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 x14ac:dyDescent="0.3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 x14ac:dyDescent="0.3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 x14ac:dyDescent="0.3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 x14ac:dyDescent="0.3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 x14ac:dyDescent="0.3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 x14ac:dyDescent="0.3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 x14ac:dyDescent="0.3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 x14ac:dyDescent="0.3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 x14ac:dyDescent="0.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 x14ac:dyDescent="0.3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 x14ac:dyDescent="0.3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 x14ac:dyDescent="0.3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 x14ac:dyDescent="0.3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 x14ac:dyDescent="0.3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 x14ac:dyDescent="0.3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 x14ac:dyDescent="0.3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 x14ac:dyDescent="0.3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 x14ac:dyDescent="0.3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 x14ac:dyDescent="0.3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 x14ac:dyDescent="0.3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 x14ac:dyDescent="0.3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 x14ac:dyDescent="0.3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 x14ac:dyDescent="0.3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 x14ac:dyDescent="0.3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 x14ac:dyDescent="0.3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 x14ac:dyDescent="0.3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 x14ac:dyDescent="0.3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 x14ac:dyDescent="0.3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 x14ac:dyDescent="0.3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 x14ac:dyDescent="0.3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 x14ac:dyDescent="0.3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 x14ac:dyDescent="0.3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 x14ac:dyDescent="0.3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 x14ac:dyDescent="0.3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 x14ac:dyDescent="0.3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 x14ac:dyDescent="0.3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 x14ac:dyDescent="0.3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 x14ac:dyDescent="0.3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 x14ac:dyDescent="0.3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 x14ac:dyDescent="0.3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 x14ac:dyDescent="0.3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 x14ac:dyDescent="0.3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 x14ac:dyDescent="0.3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 x14ac:dyDescent="0.3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 x14ac:dyDescent="0.3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 x14ac:dyDescent="0.3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 x14ac:dyDescent="0.3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 x14ac:dyDescent="0.3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 x14ac:dyDescent="0.3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 x14ac:dyDescent="0.3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 x14ac:dyDescent="0.3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 x14ac:dyDescent="0.3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 x14ac:dyDescent="0.3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 x14ac:dyDescent="0.3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 x14ac:dyDescent="0.3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 x14ac:dyDescent="0.3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 x14ac:dyDescent="0.3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 x14ac:dyDescent="0.3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 x14ac:dyDescent="0.3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 x14ac:dyDescent="0.3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 x14ac:dyDescent="0.3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 x14ac:dyDescent="0.3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 x14ac:dyDescent="0.3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 x14ac:dyDescent="0.3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 x14ac:dyDescent="0.3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 x14ac:dyDescent="0.3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 x14ac:dyDescent="0.3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 x14ac:dyDescent="0.3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 x14ac:dyDescent="0.3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 x14ac:dyDescent="0.3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 x14ac:dyDescent="0.3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 x14ac:dyDescent="0.3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 x14ac:dyDescent="0.3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 x14ac:dyDescent="0.3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 x14ac:dyDescent="0.3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 x14ac:dyDescent="0.3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 x14ac:dyDescent="0.3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 x14ac:dyDescent="0.3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 x14ac:dyDescent="0.3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 x14ac:dyDescent="0.3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 x14ac:dyDescent="0.3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 x14ac:dyDescent="0.3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 x14ac:dyDescent="0.3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 x14ac:dyDescent="0.3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 x14ac:dyDescent="0.3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 x14ac:dyDescent="0.3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 x14ac:dyDescent="0.3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 x14ac:dyDescent="0.3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 x14ac:dyDescent="0.3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 x14ac:dyDescent="0.3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 x14ac:dyDescent="0.3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 x14ac:dyDescent="0.3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 x14ac:dyDescent="0.3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 x14ac:dyDescent="0.3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 x14ac:dyDescent="0.3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 x14ac:dyDescent="0.3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 x14ac:dyDescent="0.3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 x14ac:dyDescent="0.3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 x14ac:dyDescent="0.3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 x14ac:dyDescent="0.3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 x14ac:dyDescent="0.3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 x14ac:dyDescent="0.3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 x14ac:dyDescent="0.3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 x14ac:dyDescent="0.3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 x14ac:dyDescent="0.3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 x14ac:dyDescent="0.3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 x14ac:dyDescent="0.3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 x14ac:dyDescent="0.3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 x14ac:dyDescent="0.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 x14ac:dyDescent="0.3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 x14ac:dyDescent="0.3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 x14ac:dyDescent="0.3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 x14ac:dyDescent="0.3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 x14ac:dyDescent="0.3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 x14ac:dyDescent="0.3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 x14ac:dyDescent="0.3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 x14ac:dyDescent="0.3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 x14ac:dyDescent="0.3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 x14ac:dyDescent="0.3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 x14ac:dyDescent="0.3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 x14ac:dyDescent="0.3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 x14ac:dyDescent="0.3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 x14ac:dyDescent="0.3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 x14ac:dyDescent="0.3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 x14ac:dyDescent="0.3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 x14ac:dyDescent="0.3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 x14ac:dyDescent="0.3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 x14ac:dyDescent="0.3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 x14ac:dyDescent="0.3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 x14ac:dyDescent="0.3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 x14ac:dyDescent="0.3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 x14ac:dyDescent="0.3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 x14ac:dyDescent="0.3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 x14ac:dyDescent="0.3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 x14ac:dyDescent="0.3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 x14ac:dyDescent="0.3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 x14ac:dyDescent="0.3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 x14ac:dyDescent="0.3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 x14ac:dyDescent="0.3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 x14ac:dyDescent="0.3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 x14ac:dyDescent="0.3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 x14ac:dyDescent="0.3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 x14ac:dyDescent="0.3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 x14ac:dyDescent="0.3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 x14ac:dyDescent="0.3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 x14ac:dyDescent="0.3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 x14ac:dyDescent="0.3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 x14ac:dyDescent="0.3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 x14ac:dyDescent="0.3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 x14ac:dyDescent="0.3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 x14ac:dyDescent="0.3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 x14ac:dyDescent="0.3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 x14ac:dyDescent="0.3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 x14ac:dyDescent="0.3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 x14ac:dyDescent="0.3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 x14ac:dyDescent="0.3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 x14ac:dyDescent="0.3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 x14ac:dyDescent="0.3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 x14ac:dyDescent="0.3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 x14ac:dyDescent="0.3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 x14ac:dyDescent="0.3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 x14ac:dyDescent="0.3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 x14ac:dyDescent="0.3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 x14ac:dyDescent="0.3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 x14ac:dyDescent="0.3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 x14ac:dyDescent="0.3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 x14ac:dyDescent="0.3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 x14ac:dyDescent="0.3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 x14ac:dyDescent="0.3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 x14ac:dyDescent="0.3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 x14ac:dyDescent="0.3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 x14ac:dyDescent="0.3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 x14ac:dyDescent="0.3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 x14ac:dyDescent="0.3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 x14ac:dyDescent="0.3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 x14ac:dyDescent="0.3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 x14ac:dyDescent="0.3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 x14ac:dyDescent="0.3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 x14ac:dyDescent="0.3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 x14ac:dyDescent="0.3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 x14ac:dyDescent="0.3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 x14ac:dyDescent="0.3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 x14ac:dyDescent="0.3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 x14ac:dyDescent="0.3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 x14ac:dyDescent="0.3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 x14ac:dyDescent="0.3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 x14ac:dyDescent="0.3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 x14ac:dyDescent="0.3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 x14ac:dyDescent="0.3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 x14ac:dyDescent="0.3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 x14ac:dyDescent="0.3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 x14ac:dyDescent="0.3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 x14ac:dyDescent="0.3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 x14ac:dyDescent="0.3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 x14ac:dyDescent="0.3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 x14ac:dyDescent="0.3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 x14ac:dyDescent="0.3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 x14ac:dyDescent="0.3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 x14ac:dyDescent="0.3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 x14ac:dyDescent="0.3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 x14ac:dyDescent="0.3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 x14ac:dyDescent="0.3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 x14ac:dyDescent="0.3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 x14ac:dyDescent="0.3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 x14ac:dyDescent="0.3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 x14ac:dyDescent="0.3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 x14ac:dyDescent="0.3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 x14ac:dyDescent="0.3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 x14ac:dyDescent="0.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 x14ac:dyDescent="0.3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 x14ac:dyDescent="0.3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 x14ac:dyDescent="0.3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 x14ac:dyDescent="0.3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 x14ac:dyDescent="0.3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 x14ac:dyDescent="0.3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 x14ac:dyDescent="0.3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 x14ac:dyDescent="0.3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 x14ac:dyDescent="0.3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 x14ac:dyDescent="0.3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 x14ac:dyDescent="0.3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 x14ac:dyDescent="0.3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 x14ac:dyDescent="0.3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 x14ac:dyDescent="0.3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 x14ac:dyDescent="0.3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 x14ac:dyDescent="0.3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 x14ac:dyDescent="0.3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 x14ac:dyDescent="0.3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 x14ac:dyDescent="0.3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 x14ac:dyDescent="0.3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 x14ac:dyDescent="0.3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 x14ac:dyDescent="0.3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 x14ac:dyDescent="0.3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 x14ac:dyDescent="0.3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 x14ac:dyDescent="0.3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 x14ac:dyDescent="0.3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 x14ac:dyDescent="0.3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 x14ac:dyDescent="0.3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 x14ac:dyDescent="0.3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 x14ac:dyDescent="0.3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 x14ac:dyDescent="0.3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 x14ac:dyDescent="0.3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 x14ac:dyDescent="0.3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 x14ac:dyDescent="0.3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 x14ac:dyDescent="0.3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 x14ac:dyDescent="0.3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 x14ac:dyDescent="0.3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 x14ac:dyDescent="0.3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 x14ac:dyDescent="0.3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 x14ac:dyDescent="0.3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 x14ac:dyDescent="0.3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 x14ac:dyDescent="0.3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 x14ac:dyDescent="0.3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 x14ac:dyDescent="0.3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 x14ac:dyDescent="0.3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 x14ac:dyDescent="0.3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 x14ac:dyDescent="0.3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 x14ac:dyDescent="0.3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 x14ac:dyDescent="0.3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 x14ac:dyDescent="0.3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 x14ac:dyDescent="0.3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 x14ac:dyDescent="0.3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 x14ac:dyDescent="0.3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 x14ac:dyDescent="0.3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 x14ac:dyDescent="0.3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 x14ac:dyDescent="0.3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 x14ac:dyDescent="0.3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 x14ac:dyDescent="0.3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 x14ac:dyDescent="0.3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 x14ac:dyDescent="0.3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 x14ac:dyDescent="0.3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 x14ac:dyDescent="0.3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 x14ac:dyDescent="0.3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 x14ac:dyDescent="0.3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 x14ac:dyDescent="0.3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 x14ac:dyDescent="0.3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 x14ac:dyDescent="0.3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 x14ac:dyDescent="0.3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 x14ac:dyDescent="0.3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 x14ac:dyDescent="0.3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 x14ac:dyDescent="0.3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 x14ac:dyDescent="0.3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 x14ac:dyDescent="0.3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 x14ac:dyDescent="0.3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 x14ac:dyDescent="0.3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 x14ac:dyDescent="0.3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 x14ac:dyDescent="0.3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 x14ac:dyDescent="0.3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 x14ac:dyDescent="0.3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 x14ac:dyDescent="0.3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 x14ac:dyDescent="0.3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 x14ac:dyDescent="0.3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 x14ac:dyDescent="0.3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 x14ac:dyDescent="0.3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 x14ac:dyDescent="0.3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 x14ac:dyDescent="0.3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 x14ac:dyDescent="0.3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 x14ac:dyDescent="0.3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 x14ac:dyDescent="0.3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 x14ac:dyDescent="0.3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 x14ac:dyDescent="0.3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 x14ac:dyDescent="0.3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 x14ac:dyDescent="0.3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 x14ac:dyDescent="0.3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 x14ac:dyDescent="0.3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 x14ac:dyDescent="0.3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 x14ac:dyDescent="0.3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 x14ac:dyDescent="0.3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 x14ac:dyDescent="0.3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 x14ac:dyDescent="0.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 x14ac:dyDescent="0.3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 x14ac:dyDescent="0.3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 x14ac:dyDescent="0.3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 x14ac:dyDescent="0.3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 x14ac:dyDescent="0.3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 x14ac:dyDescent="0.3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 x14ac:dyDescent="0.3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 x14ac:dyDescent="0.3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 x14ac:dyDescent="0.3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 x14ac:dyDescent="0.3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 x14ac:dyDescent="0.3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 x14ac:dyDescent="0.3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 x14ac:dyDescent="0.3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 x14ac:dyDescent="0.3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 x14ac:dyDescent="0.3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 x14ac:dyDescent="0.3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 x14ac:dyDescent="0.3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 x14ac:dyDescent="0.3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 x14ac:dyDescent="0.3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 x14ac:dyDescent="0.3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 x14ac:dyDescent="0.3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 x14ac:dyDescent="0.3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 x14ac:dyDescent="0.3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 x14ac:dyDescent="0.3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 x14ac:dyDescent="0.3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 x14ac:dyDescent="0.3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 x14ac:dyDescent="0.3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 x14ac:dyDescent="0.3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 x14ac:dyDescent="0.3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 x14ac:dyDescent="0.3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 x14ac:dyDescent="0.3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 x14ac:dyDescent="0.3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 x14ac:dyDescent="0.3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 x14ac:dyDescent="0.3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 x14ac:dyDescent="0.3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 x14ac:dyDescent="0.3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 x14ac:dyDescent="0.3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 x14ac:dyDescent="0.3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 x14ac:dyDescent="0.3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 x14ac:dyDescent="0.3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 x14ac:dyDescent="0.3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 x14ac:dyDescent="0.3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 x14ac:dyDescent="0.3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 x14ac:dyDescent="0.3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 x14ac:dyDescent="0.3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 x14ac:dyDescent="0.3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 x14ac:dyDescent="0.3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 x14ac:dyDescent="0.3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 x14ac:dyDescent="0.3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 x14ac:dyDescent="0.3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 x14ac:dyDescent="0.3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 x14ac:dyDescent="0.3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 x14ac:dyDescent="0.3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 x14ac:dyDescent="0.3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 x14ac:dyDescent="0.3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 x14ac:dyDescent="0.3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 x14ac:dyDescent="0.3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 x14ac:dyDescent="0.3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 x14ac:dyDescent="0.3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 x14ac:dyDescent="0.3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 x14ac:dyDescent="0.3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 x14ac:dyDescent="0.3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 x14ac:dyDescent="0.3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 x14ac:dyDescent="0.3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 x14ac:dyDescent="0.3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 x14ac:dyDescent="0.3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 x14ac:dyDescent="0.3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 x14ac:dyDescent="0.3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 x14ac:dyDescent="0.3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 x14ac:dyDescent="0.3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 x14ac:dyDescent="0.3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 x14ac:dyDescent="0.3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 x14ac:dyDescent="0.3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 x14ac:dyDescent="0.3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 x14ac:dyDescent="0.3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 x14ac:dyDescent="0.3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 x14ac:dyDescent="0.3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 x14ac:dyDescent="0.3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 x14ac:dyDescent="0.3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 x14ac:dyDescent="0.3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 x14ac:dyDescent="0.3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 x14ac:dyDescent="0.3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 x14ac:dyDescent="0.3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 x14ac:dyDescent="0.3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 x14ac:dyDescent="0.3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 x14ac:dyDescent="0.3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 x14ac:dyDescent="0.3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 x14ac:dyDescent="0.3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 x14ac:dyDescent="0.3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 x14ac:dyDescent="0.3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 x14ac:dyDescent="0.3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 x14ac:dyDescent="0.3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 x14ac:dyDescent="0.3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 x14ac:dyDescent="0.3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 x14ac:dyDescent="0.3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 x14ac:dyDescent="0.3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 x14ac:dyDescent="0.3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 x14ac:dyDescent="0.3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 x14ac:dyDescent="0.3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 x14ac:dyDescent="0.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 x14ac:dyDescent="0.3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 x14ac:dyDescent="0.3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 x14ac:dyDescent="0.3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 x14ac:dyDescent="0.3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 x14ac:dyDescent="0.3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 x14ac:dyDescent="0.3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 x14ac:dyDescent="0.3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 x14ac:dyDescent="0.3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 x14ac:dyDescent="0.3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 x14ac:dyDescent="0.3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 x14ac:dyDescent="0.3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 x14ac:dyDescent="0.3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 x14ac:dyDescent="0.3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 x14ac:dyDescent="0.3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 x14ac:dyDescent="0.3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 x14ac:dyDescent="0.3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 x14ac:dyDescent="0.3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 x14ac:dyDescent="0.3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 x14ac:dyDescent="0.3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 x14ac:dyDescent="0.3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 x14ac:dyDescent="0.3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 x14ac:dyDescent="0.3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 x14ac:dyDescent="0.3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 x14ac:dyDescent="0.3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 x14ac:dyDescent="0.3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 x14ac:dyDescent="0.3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 x14ac:dyDescent="0.3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 x14ac:dyDescent="0.3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 x14ac:dyDescent="0.3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 x14ac:dyDescent="0.3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 x14ac:dyDescent="0.3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 x14ac:dyDescent="0.3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 x14ac:dyDescent="0.3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 x14ac:dyDescent="0.3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 x14ac:dyDescent="0.3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 x14ac:dyDescent="0.3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 x14ac:dyDescent="0.3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 x14ac:dyDescent="0.3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 x14ac:dyDescent="0.3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 x14ac:dyDescent="0.3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 x14ac:dyDescent="0.3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 x14ac:dyDescent="0.3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 x14ac:dyDescent="0.3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 x14ac:dyDescent="0.3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 x14ac:dyDescent="0.3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 x14ac:dyDescent="0.3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 x14ac:dyDescent="0.3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 x14ac:dyDescent="0.3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 x14ac:dyDescent="0.3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 x14ac:dyDescent="0.3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 x14ac:dyDescent="0.3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 x14ac:dyDescent="0.3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 x14ac:dyDescent="0.3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 x14ac:dyDescent="0.3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 x14ac:dyDescent="0.3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 x14ac:dyDescent="0.3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 x14ac:dyDescent="0.3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 x14ac:dyDescent="0.3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 x14ac:dyDescent="0.3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 x14ac:dyDescent="0.3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 x14ac:dyDescent="0.3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 x14ac:dyDescent="0.3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 x14ac:dyDescent="0.3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 x14ac:dyDescent="0.3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 x14ac:dyDescent="0.3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 x14ac:dyDescent="0.3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 x14ac:dyDescent="0.3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 x14ac:dyDescent="0.3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 x14ac:dyDescent="0.3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 x14ac:dyDescent="0.3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 x14ac:dyDescent="0.3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 x14ac:dyDescent="0.3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 x14ac:dyDescent="0.3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 x14ac:dyDescent="0.3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 x14ac:dyDescent="0.3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 x14ac:dyDescent="0.3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 x14ac:dyDescent="0.3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 x14ac:dyDescent="0.3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 x14ac:dyDescent="0.3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 x14ac:dyDescent="0.3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 x14ac:dyDescent="0.3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 x14ac:dyDescent="0.3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 x14ac:dyDescent="0.3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 x14ac:dyDescent="0.3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 x14ac:dyDescent="0.3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 x14ac:dyDescent="0.3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 x14ac:dyDescent="0.3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 x14ac:dyDescent="0.3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 x14ac:dyDescent="0.3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 x14ac:dyDescent="0.3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 x14ac:dyDescent="0.3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 x14ac:dyDescent="0.3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 x14ac:dyDescent="0.3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 x14ac:dyDescent="0.3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 x14ac:dyDescent="0.3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 x14ac:dyDescent="0.3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 x14ac:dyDescent="0.3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 x14ac:dyDescent="0.3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 x14ac:dyDescent="0.3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 x14ac:dyDescent="0.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 x14ac:dyDescent="0.3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 x14ac:dyDescent="0.3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 x14ac:dyDescent="0.3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 x14ac:dyDescent="0.3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 x14ac:dyDescent="0.3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 x14ac:dyDescent="0.3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 x14ac:dyDescent="0.3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 x14ac:dyDescent="0.3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 x14ac:dyDescent="0.3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 x14ac:dyDescent="0.3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 x14ac:dyDescent="0.3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 x14ac:dyDescent="0.3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 x14ac:dyDescent="0.3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 x14ac:dyDescent="0.3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 x14ac:dyDescent="0.3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 x14ac:dyDescent="0.3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 x14ac:dyDescent="0.3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 x14ac:dyDescent="0.3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 x14ac:dyDescent="0.3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 x14ac:dyDescent="0.3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 x14ac:dyDescent="0.3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 x14ac:dyDescent="0.3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 x14ac:dyDescent="0.3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 x14ac:dyDescent="0.3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 x14ac:dyDescent="0.3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 x14ac:dyDescent="0.3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 x14ac:dyDescent="0.3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 x14ac:dyDescent="0.3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 x14ac:dyDescent="0.3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 x14ac:dyDescent="0.3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 x14ac:dyDescent="0.3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 x14ac:dyDescent="0.3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 x14ac:dyDescent="0.3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 x14ac:dyDescent="0.3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 x14ac:dyDescent="0.3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 x14ac:dyDescent="0.3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 x14ac:dyDescent="0.3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 x14ac:dyDescent="0.3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 x14ac:dyDescent="0.3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 x14ac:dyDescent="0.3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 x14ac:dyDescent="0.3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 x14ac:dyDescent="0.3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 x14ac:dyDescent="0.3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 x14ac:dyDescent="0.3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 x14ac:dyDescent="0.3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 x14ac:dyDescent="0.3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 x14ac:dyDescent="0.3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 x14ac:dyDescent="0.3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 x14ac:dyDescent="0.3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 x14ac:dyDescent="0.3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 x14ac:dyDescent="0.3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 x14ac:dyDescent="0.3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 x14ac:dyDescent="0.3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 x14ac:dyDescent="0.3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 x14ac:dyDescent="0.3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 x14ac:dyDescent="0.3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 x14ac:dyDescent="0.3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 x14ac:dyDescent="0.3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 x14ac:dyDescent="0.3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 x14ac:dyDescent="0.3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25" customHeight="1" x14ac:dyDescent="0.3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25" customHeight="1" x14ac:dyDescent="0.3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25" customHeight="1" x14ac:dyDescent="0.3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25" customHeight="1" x14ac:dyDescent="0.3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4.25" customHeight="1" x14ac:dyDescent="0.3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5">
    <mergeCell ref="A2:E2"/>
    <mergeCell ref="H2:K2"/>
    <mergeCell ref="H3:K3"/>
    <mergeCell ref="H7:K7"/>
    <mergeCell ref="H8:K8"/>
  </mergeCells>
  <conditionalFormatting sqref="A2 F2 G2:Z33 A3:F33">
    <cfRule type="cellIs" dxfId="0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53125" defaultRowHeight="15" customHeight="1" x14ac:dyDescent="0.35"/>
  <cols>
    <col min="1" max="1" width="35.7265625" customWidth="1"/>
    <col min="2" max="4" width="9.453125" customWidth="1"/>
    <col min="5" max="5" width="10" customWidth="1"/>
    <col min="6" max="6" width="9.08984375" customWidth="1"/>
    <col min="7" max="26" width="8.7265625" customWidth="1"/>
  </cols>
  <sheetData>
    <row r="1" spans="1:26" ht="14.25" customHeight="1" x14ac:dyDescent="0.35">
      <c r="C1" s="51"/>
      <c r="E1" s="52"/>
    </row>
    <row r="2" spans="1:26" ht="14.25" customHeight="1" x14ac:dyDescent="0.35">
      <c r="A2" s="53" t="s">
        <v>210</v>
      </c>
      <c r="B2" s="53">
        <v>2023</v>
      </c>
      <c r="C2" s="54" t="s">
        <v>211</v>
      </c>
      <c r="D2" s="53">
        <v>2024</v>
      </c>
      <c r="E2" s="55" t="s">
        <v>211</v>
      </c>
    </row>
    <row r="3" spans="1:26" ht="14.25" customHeight="1" x14ac:dyDescent="0.35">
      <c r="A3" s="1" t="s">
        <v>212</v>
      </c>
      <c r="B3" s="1">
        <v>213793.6</v>
      </c>
      <c r="C3" s="56">
        <f>1</f>
        <v>1</v>
      </c>
      <c r="D3" s="1">
        <v>206483.3</v>
      </c>
      <c r="E3" s="57">
        <f>1</f>
        <v>1</v>
      </c>
    </row>
    <row r="4" spans="1:26" ht="14.25" customHeight="1" x14ac:dyDescent="0.35">
      <c r="A4" s="58" t="s">
        <v>213</v>
      </c>
      <c r="B4" s="1"/>
      <c r="C4" s="56"/>
      <c r="D4" s="1"/>
      <c r="E4" s="57"/>
    </row>
    <row r="5" spans="1:26" ht="14.25" customHeight="1" x14ac:dyDescent="0.35">
      <c r="A5" s="59" t="s">
        <v>214</v>
      </c>
      <c r="B5" s="1">
        <v>62920.9</v>
      </c>
      <c r="C5" s="56">
        <f t="shared" ref="C5:C9" si="0">B5/$B$3</f>
        <v>0.29430675193270517</v>
      </c>
      <c r="D5" s="1">
        <v>54237.9</v>
      </c>
      <c r="E5" s="56">
        <f t="shared" ref="E5:E9" si="1">D5/$D$3</f>
        <v>0.26267451169174461</v>
      </c>
    </row>
    <row r="6" spans="1:26" ht="14.25" customHeight="1" x14ac:dyDescent="0.35">
      <c r="A6" s="59" t="s">
        <v>215</v>
      </c>
      <c r="B6" s="1">
        <v>4952.1000000000004</v>
      </c>
      <c r="C6" s="56">
        <f t="shared" si="0"/>
        <v>2.3162994589173858E-2</v>
      </c>
      <c r="D6" s="1">
        <v>4504.2</v>
      </c>
      <c r="E6" s="56">
        <f t="shared" si="1"/>
        <v>2.181387066169516E-2</v>
      </c>
    </row>
    <row r="7" spans="1:26" ht="14.25" customHeight="1" x14ac:dyDescent="0.35">
      <c r="A7" s="59" t="s">
        <v>216</v>
      </c>
      <c r="B7" s="1">
        <v>21569.5</v>
      </c>
      <c r="C7" s="56">
        <f t="shared" si="0"/>
        <v>0.10088936245051301</v>
      </c>
      <c r="D7" s="1">
        <v>23739.5</v>
      </c>
      <c r="E7" s="56">
        <f t="shared" si="1"/>
        <v>0.11497055694092452</v>
      </c>
    </row>
    <row r="8" spans="1:26" ht="14.25" customHeight="1" x14ac:dyDescent="0.35">
      <c r="A8" s="59" t="s">
        <v>217</v>
      </c>
      <c r="B8" s="1">
        <v>10373.200000000001</v>
      </c>
      <c r="C8" s="56">
        <f t="shared" si="0"/>
        <v>4.8519693760711267E-2</v>
      </c>
      <c r="D8" s="1">
        <v>11953</v>
      </c>
      <c r="E8" s="56">
        <f t="shared" si="1"/>
        <v>5.788845877608504E-2</v>
      </c>
    </row>
    <row r="9" spans="1:26" ht="14.25" customHeight="1" x14ac:dyDescent="0.35">
      <c r="A9" s="60" t="s">
        <v>218</v>
      </c>
      <c r="B9" s="60">
        <f>B3-SUM(B5:B8)</f>
        <v>113977.90000000001</v>
      </c>
      <c r="C9" s="61">
        <f t="shared" si="0"/>
        <v>0.53312119726689666</v>
      </c>
      <c r="D9" s="60">
        <f>D3-SUM(D5:D8)</f>
        <v>112048.69999999998</v>
      </c>
      <c r="E9" s="61">
        <f t="shared" si="1"/>
        <v>0.54265260192955067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4.25" customHeight="1" x14ac:dyDescent="0.35">
      <c r="A10" s="58" t="s">
        <v>219</v>
      </c>
      <c r="B10" s="1"/>
      <c r="C10" s="56"/>
      <c r="D10" s="1"/>
      <c r="E10" s="56"/>
    </row>
    <row r="11" spans="1:26" ht="14.25" customHeight="1" x14ac:dyDescent="0.35">
      <c r="A11" s="59" t="s">
        <v>220</v>
      </c>
      <c r="B11" s="1">
        <v>43264.2</v>
      </c>
      <c r="C11" s="56">
        <f t="shared" ref="C11:C17" si="2">B11/$B$3</f>
        <v>0.2023643364441218</v>
      </c>
      <c r="D11" s="1">
        <v>47548.6</v>
      </c>
      <c r="E11" s="56">
        <f t="shared" ref="E11:E17" si="3">D11/$D$3</f>
        <v>0.23027818714636972</v>
      </c>
    </row>
    <row r="12" spans="1:26" ht="14.25" customHeight="1" x14ac:dyDescent="0.35">
      <c r="A12" s="59" t="s">
        <v>221</v>
      </c>
      <c r="B12" s="1">
        <v>32572.7</v>
      </c>
      <c r="C12" s="56">
        <f t="shared" si="2"/>
        <v>0.15235582356066785</v>
      </c>
      <c r="D12" s="1">
        <v>6156.6</v>
      </c>
      <c r="E12" s="56">
        <f t="shared" si="3"/>
        <v>2.9816454890056486E-2</v>
      </c>
    </row>
    <row r="13" spans="1:26" ht="14.25" customHeight="1" x14ac:dyDescent="0.35">
      <c r="A13" s="60" t="s">
        <v>222</v>
      </c>
      <c r="B13" s="60">
        <f>B9-B12-B11</f>
        <v>38141.000000000015</v>
      </c>
      <c r="C13" s="61">
        <f t="shared" si="2"/>
        <v>0.17840103726210707</v>
      </c>
      <c r="D13" s="60">
        <f>D9-D12-D11</f>
        <v>58343.499999999978</v>
      </c>
      <c r="E13" s="61">
        <f t="shared" si="3"/>
        <v>0.28255795989312443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14.25" customHeight="1" x14ac:dyDescent="0.35">
      <c r="A14" s="58" t="s">
        <v>223</v>
      </c>
      <c r="B14" s="1">
        <v>16008.7</v>
      </c>
      <c r="C14" s="56">
        <f t="shared" si="2"/>
        <v>7.4879229312757728E-2</v>
      </c>
      <c r="D14" s="1">
        <v>16006.2</v>
      </c>
      <c r="E14" s="56">
        <f t="shared" si="3"/>
        <v>7.751813342773968E-2</v>
      </c>
    </row>
    <row r="15" spans="1:26" ht="14.25" customHeight="1" x14ac:dyDescent="0.35">
      <c r="A15" s="60" t="s">
        <v>19</v>
      </c>
      <c r="B15" s="60">
        <f>B13-B14</f>
        <v>22132.300000000014</v>
      </c>
      <c r="C15" s="61">
        <f t="shared" si="2"/>
        <v>0.10352180794934934</v>
      </c>
      <c r="D15" s="60">
        <f>D13-D14</f>
        <v>42337.299999999974</v>
      </c>
      <c r="E15" s="61">
        <f t="shared" si="3"/>
        <v>0.20503982646538474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4.25" customHeight="1" x14ac:dyDescent="0.35">
      <c r="A16" s="58" t="s">
        <v>224</v>
      </c>
      <c r="B16" s="1">
        <v>4721.8</v>
      </c>
      <c r="C16" s="56">
        <f t="shared" si="2"/>
        <v>2.208578741365504E-2</v>
      </c>
      <c r="D16" s="1">
        <v>7840.8</v>
      </c>
      <c r="E16" s="56">
        <f t="shared" si="3"/>
        <v>3.7973046730655706E-2</v>
      </c>
    </row>
    <row r="17" spans="1:26" ht="14.25" customHeight="1" x14ac:dyDescent="0.35">
      <c r="A17" s="60" t="s">
        <v>225</v>
      </c>
      <c r="B17" s="60">
        <f>B15-B16</f>
        <v>17410.500000000015</v>
      </c>
      <c r="C17" s="61">
        <f t="shared" si="2"/>
        <v>8.1436020535694306E-2</v>
      </c>
      <c r="D17" s="60">
        <f>D15-D16</f>
        <v>34496.499999999971</v>
      </c>
      <c r="E17" s="61">
        <f t="shared" si="3"/>
        <v>0.16706677973472903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4.25" customHeight="1" x14ac:dyDescent="0.35">
      <c r="A18" s="58" t="s">
        <v>226</v>
      </c>
      <c r="B18" s="1"/>
      <c r="C18" s="56"/>
      <c r="D18" s="1"/>
      <c r="E18" s="56"/>
    </row>
    <row r="19" spans="1:26" ht="14.25" customHeight="1" x14ac:dyDescent="0.35">
      <c r="A19" s="59" t="s">
        <v>227</v>
      </c>
      <c r="B19" s="1">
        <v>7527.7</v>
      </c>
      <c r="C19" s="56">
        <f t="shared" ref="C19:C21" si="4">B19/$B$3</f>
        <v>3.521012789905778E-2</v>
      </c>
      <c r="D19" s="1">
        <v>5461</v>
      </c>
      <c r="E19" s="56">
        <f t="shared" ref="E19:E21" si="5">D19/$D$3</f>
        <v>2.6447659447519485E-2</v>
      </c>
    </row>
    <row r="20" spans="1:26" ht="14.25" customHeight="1" x14ac:dyDescent="0.35">
      <c r="A20" s="59" t="s">
        <v>228</v>
      </c>
      <c r="B20" s="1">
        <v>-7024.4</v>
      </c>
      <c r="C20" s="56">
        <f t="shared" si="4"/>
        <v>-3.2855988205446746E-2</v>
      </c>
      <c r="D20" s="1">
        <v>453.7</v>
      </c>
      <c r="E20" s="56">
        <f t="shared" si="5"/>
        <v>2.1972721280607197E-3</v>
      </c>
    </row>
    <row r="21" spans="1:26" ht="14.25" customHeight="1" x14ac:dyDescent="0.35">
      <c r="A21" s="60" t="s">
        <v>229</v>
      </c>
      <c r="B21" s="60">
        <f>B17-B19-B20</f>
        <v>16907.200000000012</v>
      </c>
      <c r="C21" s="61">
        <f t="shared" si="4"/>
        <v>7.9081880842083258E-2</v>
      </c>
      <c r="D21" s="60">
        <f>D17-D19-D20</f>
        <v>28581.79999999997</v>
      </c>
      <c r="E21" s="61">
        <f t="shared" si="5"/>
        <v>0.13842184815914882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4.25" customHeight="1" x14ac:dyDescent="0.35">
      <c r="C22" s="51"/>
      <c r="E22" s="52"/>
    </row>
    <row r="23" spans="1:26" ht="14.25" customHeight="1" x14ac:dyDescent="0.35">
      <c r="C23" s="51"/>
      <c r="E23" s="52"/>
    </row>
    <row r="24" spans="1:26" ht="14.25" customHeight="1" x14ac:dyDescent="0.35">
      <c r="C24" s="51"/>
      <c r="E24" s="52"/>
    </row>
    <row r="25" spans="1:26" ht="14.25" customHeight="1" x14ac:dyDescent="0.35">
      <c r="C25" s="51"/>
      <c r="E25" s="52"/>
    </row>
    <row r="26" spans="1:26" ht="14.25" customHeight="1" x14ac:dyDescent="0.35">
      <c r="C26" s="51"/>
      <c r="E26" s="52"/>
    </row>
    <row r="27" spans="1:26" ht="14.25" customHeight="1" x14ac:dyDescent="0.35">
      <c r="C27" s="51"/>
      <c r="E27" s="52"/>
    </row>
    <row r="28" spans="1:26" ht="14.25" customHeight="1" x14ac:dyDescent="0.35">
      <c r="C28" s="51"/>
      <c r="E28" s="52"/>
    </row>
    <row r="29" spans="1:26" ht="14.25" customHeight="1" x14ac:dyDescent="0.35">
      <c r="C29" s="51"/>
      <c r="E29" s="52"/>
    </row>
    <row r="30" spans="1:26" ht="14.25" customHeight="1" x14ac:dyDescent="0.35">
      <c r="C30" s="51"/>
      <c r="E30" s="52"/>
    </row>
    <row r="31" spans="1:26" ht="14.25" customHeight="1" x14ac:dyDescent="0.35">
      <c r="C31" s="51"/>
      <c r="E31" s="52"/>
    </row>
    <row r="32" spans="1:26" ht="14.25" customHeight="1" x14ac:dyDescent="0.35">
      <c r="C32" s="51"/>
      <c r="E32" s="52"/>
    </row>
    <row r="33" spans="3:5" ht="14.25" customHeight="1" x14ac:dyDescent="0.35">
      <c r="C33" s="51"/>
      <c r="E33" s="52"/>
    </row>
    <row r="34" spans="3:5" ht="14.25" customHeight="1" x14ac:dyDescent="0.35">
      <c r="C34" s="51"/>
      <c r="E34" s="52"/>
    </row>
    <row r="35" spans="3:5" ht="14.25" customHeight="1" x14ac:dyDescent="0.35">
      <c r="C35" s="51"/>
      <c r="E35" s="52"/>
    </row>
    <row r="36" spans="3:5" ht="14.25" customHeight="1" x14ac:dyDescent="0.35">
      <c r="C36" s="51"/>
      <c r="E36" s="52"/>
    </row>
    <row r="37" spans="3:5" ht="14.25" customHeight="1" x14ac:dyDescent="0.35">
      <c r="C37" s="51"/>
      <c r="E37" s="52"/>
    </row>
    <row r="38" spans="3:5" ht="14.25" customHeight="1" x14ac:dyDescent="0.35">
      <c r="C38" s="51"/>
      <c r="E38" s="52"/>
    </row>
    <row r="39" spans="3:5" ht="14.25" customHeight="1" x14ac:dyDescent="0.35">
      <c r="C39" s="51"/>
      <c r="E39" s="52"/>
    </row>
    <row r="40" spans="3:5" ht="14.25" customHeight="1" x14ac:dyDescent="0.35">
      <c r="C40" s="51"/>
      <c r="E40" s="52"/>
    </row>
    <row r="41" spans="3:5" ht="14.25" customHeight="1" x14ac:dyDescent="0.35">
      <c r="C41" s="51"/>
      <c r="E41" s="52"/>
    </row>
    <row r="42" spans="3:5" ht="14.25" customHeight="1" x14ac:dyDescent="0.35">
      <c r="C42" s="51"/>
      <c r="E42" s="52"/>
    </row>
    <row r="43" spans="3:5" ht="14.25" customHeight="1" x14ac:dyDescent="0.35">
      <c r="C43" s="51"/>
      <c r="E43" s="52"/>
    </row>
    <row r="44" spans="3:5" ht="14.25" customHeight="1" x14ac:dyDescent="0.35">
      <c r="C44" s="51"/>
      <c r="E44" s="52"/>
    </row>
    <row r="45" spans="3:5" ht="14.25" customHeight="1" x14ac:dyDescent="0.35">
      <c r="C45" s="51"/>
      <c r="E45" s="52"/>
    </row>
    <row r="46" spans="3:5" ht="14.25" customHeight="1" x14ac:dyDescent="0.35">
      <c r="C46" s="51"/>
      <c r="E46" s="52"/>
    </row>
    <row r="47" spans="3:5" ht="14.25" customHeight="1" x14ac:dyDescent="0.35">
      <c r="C47" s="51"/>
      <c r="E47" s="52"/>
    </row>
    <row r="48" spans="3:5" ht="14.25" customHeight="1" x14ac:dyDescent="0.35">
      <c r="C48" s="51"/>
      <c r="E48" s="52"/>
    </row>
    <row r="49" spans="3:5" ht="14.25" customHeight="1" x14ac:dyDescent="0.35">
      <c r="C49" s="51"/>
      <c r="E49" s="52"/>
    </row>
    <row r="50" spans="3:5" ht="14.25" customHeight="1" x14ac:dyDescent="0.35">
      <c r="C50" s="51"/>
      <c r="E50" s="52"/>
    </row>
    <row r="51" spans="3:5" ht="14.25" customHeight="1" x14ac:dyDescent="0.35">
      <c r="C51" s="51"/>
      <c r="E51" s="52"/>
    </row>
    <row r="52" spans="3:5" ht="14.25" customHeight="1" x14ac:dyDescent="0.35">
      <c r="C52" s="51"/>
      <c r="E52" s="52"/>
    </row>
    <row r="53" spans="3:5" ht="14.25" customHeight="1" x14ac:dyDescent="0.35">
      <c r="C53" s="51"/>
      <c r="E53" s="52"/>
    </row>
    <row r="54" spans="3:5" ht="14.25" customHeight="1" x14ac:dyDescent="0.35">
      <c r="C54" s="51"/>
      <c r="E54" s="52"/>
    </row>
    <row r="55" spans="3:5" ht="14.25" customHeight="1" x14ac:dyDescent="0.35">
      <c r="C55" s="51"/>
      <c r="E55" s="52"/>
    </row>
    <row r="56" spans="3:5" ht="14.25" customHeight="1" x14ac:dyDescent="0.35">
      <c r="C56" s="51"/>
      <c r="E56" s="52"/>
    </row>
    <row r="57" spans="3:5" ht="14.25" customHeight="1" x14ac:dyDescent="0.35">
      <c r="C57" s="51"/>
      <c r="E57" s="52"/>
    </row>
    <row r="58" spans="3:5" ht="14.25" customHeight="1" x14ac:dyDescent="0.35">
      <c r="C58" s="51"/>
      <c r="E58" s="52"/>
    </row>
    <row r="59" spans="3:5" ht="14.25" customHeight="1" x14ac:dyDescent="0.35">
      <c r="C59" s="51"/>
      <c r="E59" s="52"/>
    </row>
    <row r="60" spans="3:5" ht="14.25" customHeight="1" x14ac:dyDescent="0.35">
      <c r="C60" s="51"/>
      <c r="E60" s="52"/>
    </row>
    <row r="61" spans="3:5" ht="14.25" customHeight="1" x14ac:dyDescent="0.35">
      <c r="C61" s="51"/>
      <c r="E61" s="52"/>
    </row>
    <row r="62" spans="3:5" ht="14.25" customHeight="1" x14ac:dyDescent="0.35">
      <c r="C62" s="51"/>
      <c r="E62" s="52"/>
    </row>
    <row r="63" spans="3:5" ht="14.25" customHeight="1" x14ac:dyDescent="0.35">
      <c r="C63" s="51"/>
      <c r="E63" s="52"/>
    </row>
    <row r="64" spans="3:5" ht="14.25" customHeight="1" x14ac:dyDescent="0.35">
      <c r="C64" s="51"/>
      <c r="E64" s="52"/>
    </row>
    <row r="65" spans="3:5" ht="14.25" customHeight="1" x14ac:dyDescent="0.35">
      <c r="C65" s="51"/>
      <c r="E65" s="52"/>
    </row>
    <row r="66" spans="3:5" ht="14.25" customHeight="1" x14ac:dyDescent="0.35">
      <c r="C66" s="51"/>
      <c r="E66" s="52"/>
    </row>
    <row r="67" spans="3:5" ht="14.25" customHeight="1" x14ac:dyDescent="0.35">
      <c r="C67" s="51"/>
      <c r="E67" s="52"/>
    </row>
    <row r="68" spans="3:5" ht="14.25" customHeight="1" x14ac:dyDescent="0.35">
      <c r="C68" s="51"/>
      <c r="E68" s="52"/>
    </row>
    <row r="69" spans="3:5" ht="14.25" customHeight="1" x14ac:dyDescent="0.35">
      <c r="C69" s="51"/>
      <c r="E69" s="52"/>
    </row>
    <row r="70" spans="3:5" ht="14.25" customHeight="1" x14ac:dyDescent="0.35">
      <c r="C70" s="51"/>
      <c r="E70" s="52"/>
    </row>
    <row r="71" spans="3:5" ht="14.25" customHeight="1" x14ac:dyDescent="0.35">
      <c r="C71" s="51"/>
      <c r="E71" s="52"/>
    </row>
    <row r="72" spans="3:5" ht="14.25" customHeight="1" x14ac:dyDescent="0.35">
      <c r="C72" s="51"/>
      <c r="E72" s="52"/>
    </row>
    <row r="73" spans="3:5" ht="14.25" customHeight="1" x14ac:dyDescent="0.35">
      <c r="C73" s="51"/>
      <c r="E73" s="52"/>
    </row>
    <row r="74" spans="3:5" ht="14.25" customHeight="1" x14ac:dyDescent="0.35">
      <c r="C74" s="51"/>
      <c r="E74" s="52"/>
    </row>
    <row r="75" spans="3:5" ht="14.25" customHeight="1" x14ac:dyDescent="0.35">
      <c r="C75" s="51"/>
      <c r="E75" s="52"/>
    </row>
    <row r="76" spans="3:5" ht="14.25" customHeight="1" x14ac:dyDescent="0.35">
      <c r="C76" s="51"/>
      <c r="E76" s="52"/>
    </row>
    <row r="77" spans="3:5" ht="14.25" customHeight="1" x14ac:dyDescent="0.35">
      <c r="C77" s="51"/>
      <c r="E77" s="52"/>
    </row>
    <row r="78" spans="3:5" ht="14.25" customHeight="1" x14ac:dyDescent="0.35">
      <c r="C78" s="51"/>
      <c r="E78" s="52"/>
    </row>
    <row r="79" spans="3:5" ht="14.25" customHeight="1" x14ac:dyDescent="0.35">
      <c r="C79" s="51"/>
      <c r="E79" s="52"/>
    </row>
    <row r="80" spans="3:5" ht="14.25" customHeight="1" x14ac:dyDescent="0.35">
      <c r="C80" s="51"/>
      <c r="E80" s="52"/>
    </row>
    <row r="81" spans="3:5" ht="14.25" customHeight="1" x14ac:dyDescent="0.35">
      <c r="C81" s="51"/>
      <c r="E81" s="52"/>
    </row>
    <row r="82" spans="3:5" ht="14.25" customHeight="1" x14ac:dyDescent="0.35">
      <c r="C82" s="51"/>
      <c r="E82" s="52"/>
    </row>
    <row r="83" spans="3:5" ht="14.25" customHeight="1" x14ac:dyDescent="0.35">
      <c r="C83" s="51"/>
      <c r="E83" s="52"/>
    </row>
    <row r="84" spans="3:5" ht="14.25" customHeight="1" x14ac:dyDescent="0.35">
      <c r="C84" s="51"/>
      <c r="E84" s="52"/>
    </row>
    <row r="85" spans="3:5" ht="14.25" customHeight="1" x14ac:dyDescent="0.35">
      <c r="C85" s="51"/>
      <c r="E85" s="52"/>
    </row>
    <row r="86" spans="3:5" ht="14.25" customHeight="1" x14ac:dyDescent="0.35">
      <c r="C86" s="51"/>
      <c r="E86" s="52"/>
    </row>
    <row r="87" spans="3:5" ht="14.25" customHeight="1" x14ac:dyDescent="0.35">
      <c r="C87" s="51"/>
      <c r="E87" s="52"/>
    </row>
    <row r="88" spans="3:5" ht="14.25" customHeight="1" x14ac:dyDescent="0.35">
      <c r="C88" s="51"/>
      <c r="E88" s="52"/>
    </row>
    <row r="89" spans="3:5" ht="14.25" customHeight="1" x14ac:dyDescent="0.35">
      <c r="C89" s="51"/>
      <c r="E89" s="52"/>
    </row>
    <row r="90" spans="3:5" ht="14.25" customHeight="1" x14ac:dyDescent="0.35">
      <c r="C90" s="51"/>
      <c r="E90" s="52"/>
    </row>
    <row r="91" spans="3:5" ht="14.25" customHeight="1" x14ac:dyDescent="0.35">
      <c r="C91" s="51"/>
      <c r="E91" s="52"/>
    </row>
    <row r="92" spans="3:5" ht="14.25" customHeight="1" x14ac:dyDescent="0.35">
      <c r="C92" s="51"/>
      <c r="E92" s="52"/>
    </row>
    <row r="93" spans="3:5" ht="14.25" customHeight="1" x14ac:dyDescent="0.35">
      <c r="C93" s="51"/>
      <c r="E93" s="52"/>
    </row>
    <row r="94" spans="3:5" ht="14.25" customHeight="1" x14ac:dyDescent="0.35">
      <c r="C94" s="51"/>
      <c r="E94" s="52"/>
    </row>
    <row r="95" spans="3:5" ht="14.25" customHeight="1" x14ac:dyDescent="0.35">
      <c r="C95" s="51"/>
      <c r="E95" s="52"/>
    </row>
    <row r="96" spans="3:5" ht="14.25" customHeight="1" x14ac:dyDescent="0.35">
      <c r="C96" s="51"/>
      <c r="E96" s="52"/>
    </row>
    <row r="97" spans="3:5" ht="14.25" customHeight="1" x14ac:dyDescent="0.35">
      <c r="C97" s="51"/>
      <c r="E97" s="52"/>
    </row>
    <row r="98" spans="3:5" ht="14.25" customHeight="1" x14ac:dyDescent="0.35">
      <c r="C98" s="51"/>
      <c r="E98" s="52"/>
    </row>
    <row r="99" spans="3:5" ht="14.25" customHeight="1" x14ac:dyDescent="0.35">
      <c r="C99" s="51"/>
      <c r="E99" s="52"/>
    </row>
    <row r="100" spans="3:5" ht="14.25" customHeight="1" x14ac:dyDescent="0.35">
      <c r="C100" s="51"/>
      <c r="E100" s="52"/>
    </row>
    <row r="101" spans="3:5" ht="14.25" customHeight="1" x14ac:dyDescent="0.35">
      <c r="C101" s="51"/>
      <c r="E101" s="52"/>
    </row>
    <row r="102" spans="3:5" ht="14.25" customHeight="1" x14ac:dyDescent="0.35">
      <c r="C102" s="51"/>
      <c r="E102" s="52"/>
    </row>
    <row r="103" spans="3:5" ht="14.25" customHeight="1" x14ac:dyDescent="0.35">
      <c r="C103" s="51"/>
      <c r="E103" s="52"/>
    </row>
    <row r="104" spans="3:5" ht="14.25" customHeight="1" x14ac:dyDescent="0.35">
      <c r="C104" s="51"/>
      <c r="E104" s="52"/>
    </row>
    <row r="105" spans="3:5" ht="14.25" customHeight="1" x14ac:dyDescent="0.35">
      <c r="C105" s="51"/>
      <c r="E105" s="52"/>
    </row>
    <row r="106" spans="3:5" ht="14.25" customHeight="1" x14ac:dyDescent="0.35">
      <c r="C106" s="51"/>
      <c r="E106" s="52"/>
    </row>
    <row r="107" spans="3:5" ht="14.25" customHeight="1" x14ac:dyDescent="0.35">
      <c r="C107" s="51"/>
      <c r="E107" s="52"/>
    </row>
    <row r="108" spans="3:5" ht="14.25" customHeight="1" x14ac:dyDescent="0.35">
      <c r="C108" s="51"/>
      <c r="E108" s="52"/>
    </row>
    <row r="109" spans="3:5" ht="14.25" customHeight="1" x14ac:dyDescent="0.35">
      <c r="C109" s="51"/>
      <c r="E109" s="52"/>
    </row>
    <row r="110" spans="3:5" ht="14.25" customHeight="1" x14ac:dyDescent="0.35">
      <c r="C110" s="51"/>
      <c r="E110" s="52"/>
    </row>
    <row r="111" spans="3:5" ht="14.25" customHeight="1" x14ac:dyDescent="0.35">
      <c r="C111" s="51"/>
      <c r="E111" s="52"/>
    </row>
    <row r="112" spans="3:5" ht="14.25" customHeight="1" x14ac:dyDescent="0.35">
      <c r="C112" s="51"/>
      <c r="E112" s="52"/>
    </row>
    <row r="113" spans="3:5" ht="14.25" customHeight="1" x14ac:dyDescent="0.35">
      <c r="C113" s="51"/>
      <c r="E113" s="52"/>
    </row>
    <row r="114" spans="3:5" ht="14.25" customHeight="1" x14ac:dyDescent="0.35">
      <c r="C114" s="51"/>
      <c r="E114" s="52"/>
    </row>
    <row r="115" spans="3:5" ht="14.25" customHeight="1" x14ac:dyDescent="0.35">
      <c r="C115" s="51"/>
      <c r="E115" s="52"/>
    </row>
    <row r="116" spans="3:5" ht="14.25" customHeight="1" x14ac:dyDescent="0.35">
      <c r="C116" s="51"/>
      <c r="E116" s="52"/>
    </row>
    <row r="117" spans="3:5" ht="14.25" customHeight="1" x14ac:dyDescent="0.35">
      <c r="C117" s="51"/>
      <c r="E117" s="52"/>
    </row>
    <row r="118" spans="3:5" ht="14.25" customHeight="1" x14ac:dyDescent="0.35">
      <c r="C118" s="51"/>
      <c r="E118" s="52"/>
    </row>
    <row r="119" spans="3:5" ht="14.25" customHeight="1" x14ac:dyDescent="0.35">
      <c r="C119" s="51"/>
      <c r="E119" s="52"/>
    </row>
    <row r="120" spans="3:5" ht="14.25" customHeight="1" x14ac:dyDescent="0.35">
      <c r="C120" s="51"/>
      <c r="E120" s="52"/>
    </row>
    <row r="121" spans="3:5" ht="14.25" customHeight="1" x14ac:dyDescent="0.35">
      <c r="C121" s="51"/>
      <c r="E121" s="52"/>
    </row>
    <row r="122" spans="3:5" ht="14.25" customHeight="1" x14ac:dyDescent="0.35">
      <c r="C122" s="51"/>
      <c r="E122" s="52"/>
    </row>
    <row r="123" spans="3:5" ht="14.25" customHeight="1" x14ac:dyDescent="0.35">
      <c r="C123" s="51"/>
      <c r="E123" s="52"/>
    </row>
    <row r="124" spans="3:5" ht="14.25" customHeight="1" x14ac:dyDescent="0.35">
      <c r="C124" s="51"/>
      <c r="E124" s="52"/>
    </row>
    <row r="125" spans="3:5" ht="14.25" customHeight="1" x14ac:dyDescent="0.35">
      <c r="C125" s="51"/>
      <c r="E125" s="52"/>
    </row>
    <row r="126" spans="3:5" ht="14.25" customHeight="1" x14ac:dyDescent="0.35">
      <c r="C126" s="51"/>
      <c r="E126" s="52"/>
    </row>
    <row r="127" spans="3:5" ht="14.25" customHeight="1" x14ac:dyDescent="0.35">
      <c r="C127" s="51"/>
      <c r="E127" s="52"/>
    </row>
    <row r="128" spans="3:5" ht="14.25" customHeight="1" x14ac:dyDescent="0.35">
      <c r="C128" s="51"/>
      <c r="E128" s="52"/>
    </row>
    <row r="129" spans="3:5" ht="14.25" customHeight="1" x14ac:dyDescent="0.35">
      <c r="C129" s="51"/>
      <c r="E129" s="52"/>
    </row>
    <row r="130" spans="3:5" ht="14.25" customHeight="1" x14ac:dyDescent="0.35">
      <c r="C130" s="51"/>
      <c r="E130" s="52"/>
    </row>
    <row r="131" spans="3:5" ht="14.25" customHeight="1" x14ac:dyDescent="0.35">
      <c r="C131" s="51"/>
      <c r="E131" s="52"/>
    </row>
    <row r="132" spans="3:5" ht="14.25" customHeight="1" x14ac:dyDescent="0.35">
      <c r="C132" s="51"/>
      <c r="E132" s="52"/>
    </row>
    <row r="133" spans="3:5" ht="14.25" customHeight="1" x14ac:dyDescent="0.35">
      <c r="C133" s="51"/>
      <c r="E133" s="52"/>
    </row>
    <row r="134" spans="3:5" ht="14.25" customHeight="1" x14ac:dyDescent="0.35">
      <c r="C134" s="51"/>
      <c r="E134" s="52"/>
    </row>
    <row r="135" spans="3:5" ht="14.25" customHeight="1" x14ac:dyDescent="0.35">
      <c r="C135" s="51"/>
      <c r="E135" s="52"/>
    </row>
    <row r="136" spans="3:5" ht="14.25" customHeight="1" x14ac:dyDescent="0.35">
      <c r="C136" s="51"/>
      <c r="E136" s="52"/>
    </row>
    <row r="137" spans="3:5" ht="14.25" customHeight="1" x14ac:dyDescent="0.35">
      <c r="C137" s="51"/>
      <c r="E137" s="52"/>
    </row>
    <row r="138" spans="3:5" ht="14.25" customHeight="1" x14ac:dyDescent="0.35">
      <c r="C138" s="51"/>
      <c r="E138" s="52"/>
    </row>
    <row r="139" spans="3:5" ht="14.25" customHeight="1" x14ac:dyDescent="0.35">
      <c r="C139" s="51"/>
      <c r="E139" s="52"/>
    </row>
    <row r="140" spans="3:5" ht="14.25" customHeight="1" x14ac:dyDescent="0.35">
      <c r="C140" s="51"/>
      <c r="E140" s="52"/>
    </row>
    <row r="141" spans="3:5" ht="14.25" customHeight="1" x14ac:dyDescent="0.35">
      <c r="C141" s="51"/>
      <c r="E141" s="52"/>
    </row>
    <row r="142" spans="3:5" ht="14.25" customHeight="1" x14ac:dyDescent="0.35">
      <c r="C142" s="51"/>
      <c r="E142" s="52"/>
    </row>
    <row r="143" spans="3:5" ht="14.25" customHeight="1" x14ac:dyDescent="0.35">
      <c r="C143" s="51"/>
      <c r="E143" s="52"/>
    </row>
    <row r="144" spans="3:5" ht="14.25" customHeight="1" x14ac:dyDescent="0.35">
      <c r="C144" s="51"/>
      <c r="E144" s="52"/>
    </row>
    <row r="145" spans="3:5" ht="14.25" customHeight="1" x14ac:dyDescent="0.35">
      <c r="C145" s="51"/>
      <c r="E145" s="52"/>
    </row>
    <row r="146" spans="3:5" ht="14.25" customHeight="1" x14ac:dyDescent="0.35">
      <c r="C146" s="51"/>
      <c r="E146" s="52"/>
    </row>
    <row r="147" spans="3:5" ht="14.25" customHeight="1" x14ac:dyDescent="0.35">
      <c r="C147" s="51"/>
      <c r="E147" s="52"/>
    </row>
    <row r="148" spans="3:5" ht="14.25" customHeight="1" x14ac:dyDescent="0.35">
      <c r="C148" s="51"/>
      <c r="E148" s="52"/>
    </row>
    <row r="149" spans="3:5" ht="14.25" customHeight="1" x14ac:dyDescent="0.35">
      <c r="C149" s="51"/>
      <c r="E149" s="52"/>
    </row>
    <row r="150" spans="3:5" ht="14.25" customHeight="1" x14ac:dyDescent="0.35">
      <c r="C150" s="51"/>
      <c r="E150" s="52"/>
    </row>
    <row r="151" spans="3:5" ht="14.25" customHeight="1" x14ac:dyDescent="0.35">
      <c r="C151" s="51"/>
      <c r="E151" s="52"/>
    </row>
    <row r="152" spans="3:5" ht="14.25" customHeight="1" x14ac:dyDescent="0.35">
      <c r="C152" s="51"/>
      <c r="E152" s="52"/>
    </row>
    <row r="153" spans="3:5" ht="14.25" customHeight="1" x14ac:dyDescent="0.35">
      <c r="C153" s="51"/>
      <c r="E153" s="52"/>
    </row>
    <row r="154" spans="3:5" ht="14.25" customHeight="1" x14ac:dyDescent="0.35">
      <c r="C154" s="51"/>
      <c r="E154" s="52"/>
    </row>
    <row r="155" spans="3:5" ht="14.25" customHeight="1" x14ac:dyDescent="0.35">
      <c r="C155" s="51"/>
      <c r="E155" s="52"/>
    </row>
    <row r="156" spans="3:5" ht="14.25" customHeight="1" x14ac:dyDescent="0.35">
      <c r="C156" s="51"/>
      <c r="E156" s="52"/>
    </row>
    <row r="157" spans="3:5" ht="14.25" customHeight="1" x14ac:dyDescent="0.35">
      <c r="C157" s="51"/>
      <c r="E157" s="52"/>
    </row>
    <row r="158" spans="3:5" ht="14.25" customHeight="1" x14ac:dyDescent="0.35">
      <c r="C158" s="51"/>
      <c r="E158" s="52"/>
    </row>
    <row r="159" spans="3:5" ht="14.25" customHeight="1" x14ac:dyDescent="0.35">
      <c r="C159" s="51"/>
      <c r="E159" s="52"/>
    </row>
    <row r="160" spans="3:5" ht="14.25" customHeight="1" x14ac:dyDescent="0.35">
      <c r="C160" s="51"/>
      <c r="E160" s="52"/>
    </row>
    <row r="161" spans="3:5" ht="14.25" customHeight="1" x14ac:dyDescent="0.35">
      <c r="C161" s="51"/>
      <c r="E161" s="52"/>
    </row>
    <row r="162" spans="3:5" ht="14.25" customHeight="1" x14ac:dyDescent="0.35">
      <c r="C162" s="51"/>
      <c r="E162" s="52"/>
    </row>
    <row r="163" spans="3:5" ht="14.25" customHeight="1" x14ac:dyDescent="0.35">
      <c r="C163" s="51"/>
      <c r="E163" s="52"/>
    </row>
    <row r="164" spans="3:5" ht="14.25" customHeight="1" x14ac:dyDescent="0.35">
      <c r="C164" s="51"/>
      <c r="E164" s="52"/>
    </row>
    <row r="165" spans="3:5" ht="14.25" customHeight="1" x14ac:dyDescent="0.35">
      <c r="C165" s="51"/>
      <c r="E165" s="52"/>
    </row>
    <row r="166" spans="3:5" ht="14.25" customHeight="1" x14ac:dyDescent="0.35">
      <c r="C166" s="51"/>
      <c r="E166" s="52"/>
    </row>
    <row r="167" spans="3:5" ht="14.25" customHeight="1" x14ac:dyDescent="0.35">
      <c r="C167" s="51"/>
      <c r="E167" s="52"/>
    </row>
    <row r="168" spans="3:5" ht="14.25" customHeight="1" x14ac:dyDescent="0.35">
      <c r="C168" s="51"/>
      <c r="E168" s="52"/>
    </row>
    <row r="169" spans="3:5" ht="14.25" customHeight="1" x14ac:dyDescent="0.35">
      <c r="C169" s="51"/>
      <c r="E169" s="52"/>
    </row>
    <row r="170" spans="3:5" ht="14.25" customHeight="1" x14ac:dyDescent="0.35">
      <c r="C170" s="51"/>
      <c r="E170" s="52"/>
    </row>
    <row r="171" spans="3:5" ht="14.25" customHeight="1" x14ac:dyDescent="0.35">
      <c r="C171" s="51"/>
      <c r="E171" s="52"/>
    </row>
    <row r="172" spans="3:5" ht="14.25" customHeight="1" x14ac:dyDescent="0.35">
      <c r="C172" s="51"/>
      <c r="E172" s="52"/>
    </row>
    <row r="173" spans="3:5" ht="14.25" customHeight="1" x14ac:dyDescent="0.35">
      <c r="C173" s="51"/>
      <c r="E173" s="52"/>
    </row>
    <row r="174" spans="3:5" ht="14.25" customHeight="1" x14ac:dyDescent="0.35">
      <c r="C174" s="51"/>
      <c r="E174" s="52"/>
    </row>
    <row r="175" spans="3:5" ht="14.25" customHeight="1" x14ac:dyDescent="0.35">
      <c r="C175" s="51"/>
      <c r="E175" s="52"/>
    </row>
    <row r="176" spans="3:5" ht="14.25" customHeight="1" x14ac:dyDescent="0.35">
      <c r="C176" s="51"/>
      <c r="E176" s="52"/>
    </row>
    <row r="177" spans="3:5" ht="14.25" customHeight="1" x14ac:dyDescent="0.35">
      <c r="C177" s="51"/>
      <c r="E177" s="52"/>
    </row>
    <row r="178" spans="3:5" ht="14.25" customHeight="1" x14ac:dyDescent="0.35">
      <c r="C178" s="51"/>
      <c r="E178" s="52"/>
    </row>
    <row r="179" spans="3:5" ht="14.25" customHeight="1" x14ac:dyDescent="0.35">
      <c r="C179" s="51"/>
      <c r="E179" s="52"/>
    </row>
    <row r="180" spans="3:5" ht="14.25" customHeight="1" x14ac:dyDescent="0.35">
      <c r="C180" s="51"/>
      <c r="E180" s="52"/>
    </row>
    <row r="181" spans="3:5" ht="14.25" customHeight="1" x14ac:dyDescent="0.35">
      <c r="C181" s="51"/>
      <c r="E181" s="52"/>
    </row>
    <row r="182" spans="3:5" ht="14.25" customHeight="1" x14ac:dyDescent="0.35">
      <c r="C182" s="51"/>
      <c r="E182" s="52"/>
    </row>
    <row r="183" spans="3:5" ht="14.25" customHeight="1" x14ac:dyDescent="0.35">
      <c r="C183" s="51"/>
      <c r="E183" s="52"/>
    </row>
    <row r="184" spans="3:5" ht="14.25" customHeight="1" x14ac:dyDescent="0.35">
      <c r="C184" s="51"/>
      <c r="E184" s="52"/>
    </row>
    <row r="185" spans="3:5" ht="14.25" customHeight="1" x14ac:dyDescent="0.35">
      <c r="C185" s="51"/>
      <c r="E185" s="52"/>
    </row>
    <row r="186" spans="3:5" ht="14.25" customHeight="1" x14ac:dyDescent="0.35">
      <c r="C186" s="51"/>
      <c r="E186" s="52"/>
    </row>
    <row r="187" spans="3:5" ht="14.25" customHeight="1" x14ac:dyDescent="0.35">
      <c r="C187" s="51"/>
      <c r="E187" s="52"/>
    </row>
    <row r="188" spans="3:5" ht="14.25" customHeight="1" x14ac:dyDescent="0.35">
      <c r="C188" s="51"/>
      <c r="E188" s="52"/>
    </row>
    <row r="189" spans="3:5" ht="14.25" customHeight="1" x14ac:dyDescent="0.35">
      <c r="C189" s="51"/>
      <c r="E189" s="52"/>
    </row>
    <row r="190" spans="3:5" ht="14.25" customHeight="1" x14ac:dyDescent="0.35">
      <c r="C190" s="51"/>
      <c r="E190" s="52"/>
    </row>
    <row r="191" spans="3:5" ht="14.25" customHeight="1" x14ac:dyDescent="0.35">
      <c r="C191" s="51"/>
      <c r="E191" s="52"/>
    </row>
    <row r="192" spans="3:5" ht="14.25" customHeight="1" x14ac:dyDescent="0.35">
      <c r="C192" s="51"/>
      <c r="E192" s="52"/>
    </row>
    <row r="193" spans="3:5" ht="14.25" customHeight="1" x14ac:dyDescent="0.35">
      <c r="C193" s="51"/>
      <c r="E193" s="52"/>
    </row>
    <row r="194" spans="3:5" ht="14.25" customHeight="1" x14ac:dyDescent="0.35">
      <c r="C194" s="51"/>
      <c r="E194" s="52"/>
    </row>
    <row r="195" spans="3:5" ht="14.25" customHeight="1" x14ac:dyDescent="0.35">
      <c r="C195" s="51"/>
      <c r="E195" s="52"/>
    </row>
    <row r="196" spans="3:5" ht="14.25" customHeight="1" x14ac:dyDescent="0.35">
      <c r="C196" s="51"/>
      <c r="E196" s="52"/>
    </row>
    <row r="197" spans="3:5" ht="14.25" customHeight="1" x14ac:dyDescent="0.35">
      <c r="C197" s="51"/>
      <c r="E197" s="52"/>
    </row>
    <row r="198" spans="3:5" ht="14.25" customHeight="1" x14ac:dyDescent="0.35">
      <c r="C198" s="51"/>
      <c r="E198" s="52"/>
    </row>
    <row r="199" spans="3:5" ht="14.25" customHeight="1" x14ac:dyDescent="0.35">
      <c r="C199" s="51"/>
      <c r="E199" s="52"/>
    </row>
    <row r="200" spans="3:5" ht="14.25" customHeight="1" x14ac:dyDescent="0.35">
      <c r="C200" s="51"/>
      <c r="E200" s="52"/>
    </row>
    <row r="201" spans="3:5" ht="14.25" customHeight="1" x14ac:dyDescent="0.35">
      <c r="C201" s="51"/>
      <c r="E201" s="52"/>
    </row>
    <row r="202" spans="3:5" ht="14.25" customHeight="1" x14ac:dyDescent="0.35">
      <c r="C202" s="51"/>
      <c r="E202" s="52"/>
    </row>
    <row r="203" spans="3:5" ht="14.25" customHeight="1" x14ac:dyDescent="0.35">
      <c r="C203" s="51"/>
      <c r="E203" s="52"/>
    </row>
    <row r="204" spans="3:5" ht="14.25" customHeight="1" x14ac:dyDescent="0.35">
      <c r="C204" s="51"/>
      <c r="E204" s="52"/>
    </row>
    <row r="205" spans="3:5" ht="14.25" customHeight="1" x14ac:dyDescent="0.35">
      <c r="C205" s="51"/>
      <c r="E205" s="52"/>
    </row>
    <row r="206" spans="3:5" ht="14.25" customHeight="1" x14ac:dyDescent="0.35">
      <c r="C206" s="51"/>
      <c r="E206" s="52"/>
    </row>
    <row r="207" spans="3:5" ht="14.25" customHeight="1" x14ac:dyDescent="0.35">
      <c r="C207" s="51"/>
      <c r="E207" s="52"/>
    </row>
    <row r="208" spans="3:5" ht="14.25" customHeight="1" x14ac:dyDescent="0.35">
      <c r="C208" s="51"/>
      <c r="E208" s="52"/>
    </row>
    <row r="209" spans="3:5" ht="14.25" customHeight="1" x14ac:dyDescent="0.35">
      <c r="C209" s="51"/>
      <c r="E209" s="52"/>
    </row>
    <row r="210" spans="3:5" ht="14.25" customHeight="1" x14ac:dyDescent="0.35">
      <c r="C210" s="51"/>
      <c r="E210" s="52"/>
    </row>
    <row r="211" spans="3:5" ht="14.25" customHeight="1" x14ac:dyDescent="0.35">
      <c r="C211" s="51"/>
      <c r="E211" s="52"/>
    </row>
    <row r="212" spans="3:5" ht="14.25" customHeight="1" x14ac:dyDescent="0.35">
      <c r="C212" s="51"/>
      <c r="E212" s="52"/>
    </row>
    <row r="213" spans="3:5" ht="14.25" customHeight="1" x14ac:dyDescent="0.35">
      <c r="C213" s="51"/>
      <c r="E213" s="52"/>
    </row>
    <row r="214" spans="3:5" ht="14.25" customHeight="1" x14ac:dyDescent="0.35">
      <c r="C214" s="51"/>
      <c r="E214" s="52"/>
    </row>
    <row r="215" spans="3:5" ht="14.25" customHeight="1" x14ac:dyDescent="0.35">
      <c r="C215" s="51"/>
      <c r="E215" s="52"/>
    </row>
    <row r="216" spans="3:5" ht="14.25" customHeight="1" x14ac:dyDescent="0.35">
      <c r="C216" s="51"/>
      <c r="E216" s="52"/>
    </row>
    <row r="217" spans="3:5" ht="14.25" customHeight="1" x14ac:dyDescent="0.35">
      <c r="C217" s="51"/>
      <c r="E217" s="52"/>
    </row>
    <row r="218" spans="3:5" ht="14.25" customHeight="1" x14ac:dyDescent="0.35">
      <c r="C218" s="51"/>
      <c r="E218" s="52"/>
    </row>
    <row r="219" spans="3:5" ht="14.25" customHeight="1" x14ac:dyDescent="0.35">
      <c r="C219" s="51"/>
      <c r="E219" s="52"/>
    </row>
    <row r="220" spans="3:5" ht="14.25" customHeight="1" x14ac:dyDescent="0.35">
      <c r="C220" s="51"/>
      <c r="E220" s="52"/>
    </row>
    <row r="221" spans="3:5" ht="14.25" customHeight="1" x14ac:dyDescent="0.35">
      <c r="C221" s="51"/>
      <c r="E221" s="52"/>
    </row>
    <row r="222" spans="3:5" ht="14.25" customHeight="1" x14ac:dyDescent="0.35">
      <c r="C222" s="51"/>
      <c r="E222" s="52"/>
    </row>
    <row r="223" spans="3:5" ht="14.25" customHeight="1" x14ac:dyDescent="0.35">
      <c r="C223" s="51"/>
      <c r="E223" s="52"/>
    </row>
    <row r="224" spans="3:5" ht="14.25" customHeight="1" x14ac:dyDescent="0.35">
      <c r="C224" s="51"/>
      <c r="E224" s="52"/>
    </row>
    <row r="225" spans="3:5" ht="14.25" customHeight="1" x14ac:dyDescent="0.35">
      <c r="C225" s="51"/>
      <c r="E225" s="52"/>
    </row>
    <row r="226" spans="3:5" ht="14.25" customHeight="1" x14ac:dyDescent="0.35">
      <c r="C226" s="51"/>
      <c r="E226" s="52"/>
    </row>
    <row r="227" spans="3:5" ht="14.25" customHeight="1" x14ac:dyDescent="0.35">
      <c r="C227" s="51"/>
      <c r="E227" s="52"/>
    </row>
    <row r="228" spans="3:5" ht="14.25" customHeight="1" x14ac:dyDescent="0.35">
      <c r="C228" s="51"/>
      <c r="E228" s="52"/>
    </row>
    <row r="229" spans="3:5" ht="14.25" customHeight="1" x14ac:dyDescent="0.35">
      <c r="C229" s="51"/>
      <c r="E229" s="52"/>
    </row>
    <row r="230" spans="3:5" ht="14.25" customHeight="1" x14ac:dyDescent="0.35">
      <c r="C230" s="51"/>
      <c r="E230" s="52"/>
    </row>
    <row r="231" spans="3:5" ht="14.25" customHeight="1" x14ac:dyDescent="0.35">
      <c r="C231" s="51"/>
      <c r="E231" s="52"/>
    </row>
    <row r="232" spans="3:5" ht="14.25" customHeight="1" x14ac:dyDescent="0.35">
      <c r="C232" s="51"/>
      <c r="E232" s="52"/>
    </row>
    <row r="233" spans="3:5" ht="14.25" customHeight="1" x14ac:dyDescent="0.35">
      <c r="C233" s="51"/>
      <c r="E233" s="52"/>
    </row>
    <row r="234" spans="3:5" ht="14.25" customHeight="1" x14ac:dyDescent="0.35">
      <c r="C234" s="51"/>
      <c r="E234" s="52"/>
    </row>
    <row r="235" spans="3:5" ht="14.25" customHeight="1" x14ac:dyDescent="0.35">
      <c r="C235" s="51"/>
      <c r="E235" s="52"/>
    </row>
    <row r="236" spans="3:5" ht="14.25" customHeight="1" x14ac:dyDescent="0.35">
      <c r="C236" s="51"/>
      <c r="E236" s="52"/>
    </row>
    <row r="237" spans="3:5" ht="14.25" customHeight="1" x14ac:dyDescent="0.35">
      <c r="C237" s="51"/>
      <c r="E237" s="52"/>
    </row>
    <row r="238" spans="3:5" ht="14.25" customHeight="1" x14ac:dyDescent="0.35">
      <c r="C238" s="51"/>
      <c r="E238" s="52"/>
    </row>
    <row r="239" spans="3:5" ht="14.25" customHeight="1" x14ac:dyDescent="0.35">
      <c r="C239" s="51"/>
      <c r="E239" s="52"/>
    </row>
    <row r="240" spans="3:5" ht="14.25" customHeight="1" x14ac:dyDescent="0.35">
      <c r="C240" s="51"/>
      <c r="E240" s="52"/>
    </row>
    <row r="241" spans="3:5" ht="14.25" customHeight="1" x14ac:dyDescent="0.35">
      <c r="C241" s="51"/>
      <c r="E241" s="52"/>
    </row>
    <row r="242" spans="3:5" ht="14.25" customHeight="1" x14ac:dyDescent="0.35">
      <c r="C242" s="51"/>
      <c r="E242" s="52"/>
    </row>
    <row r="243" spans="3:5" ht="14.25" customHeight="1" x14ac:dyDescent="0.35">
      <c r="C243" s="51"/>
      <c r="E243" s="52"/>
    </row>
    <row r="244" spans="3:5" ht="14.25" customHeight="1" x14ac:dyDescent="0.35">
      <c r="C244" s="51"/>
      <c r="E244" s="52"/>
    </row>
    <row r="245" spans="3:5" ht="14.25" customHeight="1" x14ac:dyDescent="0.35">
      <c r="C245" s="51"/>
      <c r="E245" s="52"/>
    </row>
    <row r="246" spans="3:5" ht="14.25" customHeight="1" x14ac:dyDescent="0.35">
      <c r="C246" s="51"/>
      <c r="E246" s="52"/>
    </row>
    <row r="247" spans="3:5" ht="14.25" customHeight="1" x14ac:dyDescent="0.35">
      <c r="C247" s="51"/>
      <c r="E247" s="52"/>
    </row>
    <row r="248" spans="3:5" ht="14.25" customHeight="1" x14ac:dyDescent="0.35">
      <c r="C248" s="51"/>
      <c r="E248" s="52"/>
    </row>
    <row r="249" spans="3:5" ht="14.25" customHeight="1" x14ac:dyDescent="0.35">
      <c r="C249" s="51"/>
      <c r="E249" s="52"/>
    </row>
    <row r="250" spans="3:5" ht="14.25" customHeight="1" x14ac:dyDescent="0.35">
      <c r="C250" s="51"/>
      <c r="E250" s="52"/>
    </row>
    <row r="251" spans="3:5" ht="14.25" customHeight="1" x14ac:dyDescent="0.35">
      <c r="C251" s="51"/>
      <c r="E251" s="52"/>
    </row>
    <row r="252" spans="3:5" ht="14.25" customHeight="1" x14ac:dyDescent="0.35">
      <c r="C252" s="51"/>
      <c r="E252" s="52"/>
    </row>
    <row r="253" spans="3:5" ht="14.25" customHeight="1" x14ac:dyDescent="0.35">
      <c r="C253" s="51"/>
      <c r="E253" s="52"/>
    </row>
    <row r="254" spans="3:5" ht="14.25" customHeight="1" x14ac:dyDescent="0.35">
      <c r="C254" s="51"/>
      <c r="E254" s="52"/>
    </row>
    <row r="255" spans="3:5" ht="14.25" customHeight="1" x14ac:dyDescent="0.35">
      <c r="C255" s="51"/>
      <c r="E255" s="52"/>
    </row>
    <row r="256" spans="3:5" ht="14.25" customHeight="1" x14ac:dyDescent="0.35">
      <c r="C256" s="51"/>
      <c r="E256" s="52"/>
    </row>
    <row r="257" spans="3:5" ht="14.25" customHeight="1" x14ac:dyDescent="0.35">
      <c r="C257" s="51"/>
      <c r="E257" s="52"/>
    </row>
    <row r="258" spans="3:5" ht="14.25" customHeight="1" x14ac:dyDescent="0.35">
      <c r="C258" s="51"/>
      <c r="E258" s="52"/>
    </row>
    <row r="259" spans="3:5" ht="14.25" customHeight="1" x14ac:dyDescent="0.35">
      <c r="C259" s="51"/>
      <c r="E259" s="52"/>
    </row>
    <row r="260" spans="3:5" ht="14.25" customHeight="1" x14ac:dyDescent="0.35">
      <c r="C260" s="51"/>
      <c r="E260" s="52"/>
    </row>
    <row r="261" spans="3:5" ht="14.25" customHeight="1" x14ac:dyDescent="0.35">
      <c r="C261" s="51"/>
      <c r="E261" s="52"/>
    </row>
    <row r="262" spans="3:5" ht="14.25" customHeight="1" x14ac:dyDescent="0.35">
      <c r="C262" s="51"/>
      <c r="E262" s="52"/>
    </row>
    <row r="263" spans="3:5" ht="14.25" customHeight="1" x14ac:dyDescent="0.35">
      <c r="C263" s="51"/>
      <c r="E263" s="52"/>
    </row>
    <row r="264" spans="3:5" ht="14.25" customHeight="1" x14ac:dyDescent="0.35">
      <c r="C264" s="51"/>
      <c r="E264" s="52"/>
    </row>
    <row r="265" spans="3:5" ht="14.25" customHeight="1" x14ac:dyDescent="0.35">
      <c r="C265" s="51"/>
      <c r="E265" s="52"/>
    </row>
    <row r="266" spans="3:5" ht="14.25" customHeight="1" x14ac:dyDescent="0.35">
      <c r="C266" s="51"/>
      <c r="E266" s="52"/>
    </row>
    <row r="267" spans="3:5" ht="14.25" customHeight="1" x14ac:dyDescent="0.35">
      <c r="C267" s="51"/>
      <c r="E267" s="52"/>
    </row>
    <row r="268" spans="3:5" ht="14.25" customHeight="1" x14ac:dyDescent="0.35">
      <c r="C268" s="51"/>
      <c r="E268" s="52"/>
    </row>
    <row r="269" spans="3:5" ht="14.25" customHeight="1" x14ac:dyDescent="0.35">
      <c r="C269" s="51"/>
      <c r="E269" s="52"/>
    </row>
    <row r="270" spans="3:5" ht="14.25" customHeight="1" x14ac:dyDescent="0.35">
      <c r="C270" s="51"/>
      <c r="E270" s="52"/>
    </row>
    <row r="271" spans="3:5" ht="14.25" customHeight="1" x14ac:dyDescent="0.35">
      <c r="C271" s="51"/>
      <c r="E271" s="52"/>
    </row>
    <row r="272" spans="3:5" ht="14.25" customHeight="1" x14ac:dyDescent="0.35">
      <c r="C272" s="51"/>
      <c r="E272" s="52"/>
    </row>
    <row r="273" spans="3:5" ht="14.25" customHeight="1" x14ac:dyDescent="0.35">
      <c r="C273" s="51"/>
      <c r="E273" s="52"/>
    </row>
    <row r="274" spans="3:5" ht="14.25" customHeight="1" x14ac:dyDescent="0.35">
      <c r="C274" s="51"/>
      <c r="E274" s="52"/>
    </row>
    <row r="275" spans="3:5" ht="14.25" customHeight="1" x14ac:dyDescent="0.35">
      <c r="C275" s="51"/>
      <c r="E275" s="52"/>
    </row>
    <row r="276" spans="3:5" ht="14.25" customHeight="1" x14ac:dyDescent="0.35">
      <c r="C276" s="51"/>
      <c r="E276" s="52"/>
    </row>
    <row r="277" spans="3:5" ht="14.25" customHeight="1" x14ac:dyDescent="0.35">
      <c r="C277" s="51"/>
      <c r="E277" s="52"/>
    </row>
    <row r="278" spans="3:5" ht="14.25" customHeight="1" x14ac:dyDescent="0.35">
      <c r="C278" s="51"/>
      <c r="E278" s="52"/>
    </row>
    <row r="279" spans="3:5" ht="14.25" customHeight="1" x14ac:dyDescent="0.35">
      <c r="C279" s="51"/>
      <c r="E279" s="52"/>
    </row>
    <row r="280" spans="3:5" ht="14.25" customHeight="1" x14ac:dyDescent="0.35">
      <c r="C280" s="51"/>
      <c r="E280" s="52"/>
    </row>
    <row r="281" spans="3:5" ht="14.25" customHeight="1" x14ac:dyDescent="0.35">
      <c r="C281" s="51"/>
      <c r="E281" s="52"/>
    </row>
    <row r="282" spans="3:5" ht="14.25" customHeight="1" x14ac:dyDescent="0.35">
      <c r="C282" s="51"/>
      <c r="E282" s="52"/>
    </row>
    <row r="283" spans="3:5" ht="14.25" customHeight="1" x14ac:dyDescent="0.35">
      <c r="C283" s="51"/>
      <c r="E283" s="52"/>
    </row>
    <row r="284" spans="3:5" ht="14.25" customHeight="1" x14ac:dyDescent="0.35">
      <c r="C284" s="51"/>
      <c r="E284" s="52"/>
    </row>
    <row r="285" spans="3:5" ht="14.25" customHeight="1" x14ac:dyDescent="0.35">
      <c r="C285" s="51"/>
      <c r="E285" s="52"/>
    </row>
    <row r="286" spans="3:5" ht="14.25" customHeight="1" x14ac:dyDescent="0.35">
      <c r="C286" s="51"/>
      <c r="E286" s="52"/>
    </row>
    <row r="287" spans="3:5" ht="14.25" customHeight="1" x14ac:dyDescent="0.35">
      <c r="C287" s="51"/>
      <c r="E287" s="52"/>
    </row>
    <row r="288" spans="3:5" ht="14.25" customHeight="1" x14ac:dyDescent="0.35">
      <c r="C288" s="51"/>
      <c r="E288" s="52"/>
    </row>
    <row r="289" spans="3:5" ht="14.25" customHeight="1" x14ac:dyDescent="0.35">
      <c r="C289" s="51"/>
      <c r="E289" s="52"/>
    </row>
    <row r="290" spans="3:5" ht="14.25" customHeight="1" x14ac:dyDescent="0.35">
      <c r="C290" s="51"/>
      <c r="E290" s="52"/>
    </row>
    <row r="291" spans="3:5" ht="14.25" customHeight="1" x14ac:dyDescent="0.35">
      <c r="C291" s="51"/>
      <c r="E291" s="52"/>
    </row>
    <row r="292" spans="3:5" ht="14.25" customHeight="1" x14ac:dyDescent="0.35">
      <c r="C292" s="51"/>
      <c r="E292" s="52"/>
    </row>
    <row r="293" spans="3:5" ht="14.25" customHeight="1" x14ac:dyDescent="0.35">
      <c r="C293" s="51"/>
      <c r="E293" s="52"/>
    </row>
    <row r="294" spans="3:5" ht="14.25" customHeight="1" x14ac:dyDescent="0.35">
      <c r="C294" s="51"/>
      <c r="E294" s="52"/>
    </row>
    <row r="295" spans="3:5" ht="14.25" customHeight="1" x14ac:dyDescent="0.35">
      <c r="C295" s="51"/>
      <c r="E295" s="52"/>
    </row>
    <row r="296" spans="3:5" ht="14.25" customHeight="1" x14ac:dyDescent="0.35">
      <c r="C296" s="51"/>
      <c r="E296" s="52"/>
    </row>
    <row r="297" spans="3:5" ht="14.25" customHeight="1" x14ac:dyDescent="0.35">
      <c r="C297" s="51"/>
      <c r="E297" s="52"/>
    </row>
    <row r="298" spans="3:5" ht="14.25" customHeight="1" x14ac:dyDescent="0.35">
      <c r="C298" s="51"/>
      <c r="E298" s="52"/>
    </row>
    <row r="299" spans="3:5" ht="14.25" customHeight="1" x14ac:dyDescent="0.35">
      <c r="C299" s="51"/>
      <c r="E299" s="52"/>
    </row>
    <row r="300" spans="3:5" ht="14.25" customHeight="1" x14ac:dyDescent="0.35">
      <c r="C300" s="51"/>
      <c r="E300" s="52"/>
    </row>
    <row r="301" spans="3:5" ht="14.25" customHeight="1" x14ac:dyDescent="0.35">
      <c r="C301" s="51"/>
      <c r="E301" s="52"/>
    </row>
    <row r="302" spans="3:5" ht="14.25" customHeight="1" x14ac:dyDescent="0.35">
      <c r="C302" s="51"/>
      <c r="E302" s="52"/>
    </row>
    <row r="303" spans="3:5" ht="14.25" customHeight="1" x14ac:dyDescent="0.35">
      <c r="C303" s="51"/>
      <c r="E303" s="52"/>
    </row>
    <row r="304" spans="3:5" ht="14.25" customHeight="1" x14ac:dyDescent="0.35">
      <c r="C304" s="51"/>
      <c r="E304" s="52"/>
    </row>
    <row r="305" spans="3:5" ht="14.25" customHeight="1" x14ac:dyDescent="0.35">
      <c r="C305" s="51"/>
      <c r="E305" s="52"/>
    </row>
    <row r="306" spans="3:5" ht="14.25" customHeight="1" x14ac:dyDescent="0.35">
      <c r="C306" s="51"/>
      <c r="E306" s="52"/>
    </row>
    <row r="307" spans="3:5" ht="14.25" customHeight="1" x14ac:dyDescent="0.35">
      <c r="C307" s="51"/>
      <c r="E307" s="52"/>
    </row>
    <row r="308" spans="3:5" ht="14.25" customHeight="1" x14ac:dyDescent="0.35">
      <c r="C308" s="51"/>
      <c r="E308" s="52"/>
    </row>
    <row r="309" spans="3:5" ht="14.25" customHeight="1" x14ac:dyDescent="0.35">
      <c r="C309" s="51"/>
      <c r="E309" s="52"/>
    </row>
    <row r="310" spans="3:5" ht="14.25" customHeight="1" x14ac:dyDescent="0.35">
      <c r="C310" s="51"/>
      <c r="E310" s="52"/>
    </row>
    <row r="311" spans="3:5" ht="14.25" customHeight="1" x14ac:dyDescent="0.35">
      <c r="C311" s="51"/>
      <c r="E311" s="52"/>
    </row>
    <row r="312" spans="3:5" ht="14.25" customHeight="1" x14ac:dyDescent="0.35">
      <c r="C312" s="51"/>
      <c r="E312" s="52"/>
    </row>
    <row r="313" spans="3:5" ht="14.25" customHeight="1" x14ac:dyDescent="0.35">
      <c r="C313" s="51"/>
      <c r="E313" s="52"/>
    </row>
    <row r="314" spans="3:5" ht="14.25" customHeight="1" x14ac:dyDescent="0.35">
      <c r="C314" s="51"/>
      <c r="E314" s="52"/>
    </row>
    <row r="315" spans="3:5" ht="14.25" customHeight="1" x14ac:dyDescent="0.35">
      <c r="C315" s="51"/>
      <c r="E315" s="52"/>
    </row>
    <row r="316" spans="3:5" ht="14.25" customHeight="1" x14ac:dyDescent="0.35">
      <c r="C316" s="51"/>
      <c r="E316" s="52"/>
    </row>
    <row r="317" spans="3:5" ht="14.25" customHeight="1" x14ac:dyDescent="0.35">
      <c r="C317" s="51"/>
      <c r="E317" s="52"/>
    </row>
    <row r="318" spans="3:5" ht="14.25" customHeight="1" x14ac:dyDescent="0.35">
      <c r="C318" s="51"/>
      <c r="E318" s="52"/>
    </row>
    <row r="319" spans="3:5" ht="14.25" customHeight="1" x14ac:dyDescent="0.35">
      <c r="C319" s="51"/>
      <c r="E319" s="52"/>
    </row>
    <row r="320" spans="3:5" ht="14.25" customHeight="1" x14ac:dyDescent="0.35">
      <c r="C320" s="51"/>
      <c r="E320" s="52"/>
    </row>
    <row r="321" spans="3:5" ht="14.25" customHeight="1" x14ac:dyDescent="0.35">
      <c r="C321" s="51"/>
      <c r="E321" s="52"/>
    </row>
    <row r="322" spans="3:5" ht="14.25" customHeight="1" x14ac:dyDescent="0.35">
      <c r="C322" s="51"/>
      <c r="E322" s="52"/>
    </row>
    <row r="323" spans="3:5" ht="14.25" customHeight="1" x14ac:dyDescent="0.35">
      <c r="C323" s="51"/>
      <c r="E323" s="52"/>
    </row>
    <row r="324" spans="3:5" ht="14.25" customHeight="1" x14ac:dyDescent="0.35">
      <c r="C324" s="51"/>
      <c r="E324" s="52"/>
    </row>
    <row r="325" spans="3:5" ht="14.25" customHeight="1" x14ac:dyDescent="0.35">
      <c r="C325" s="51"/>
      <c r="E325" s="52"/>
    </row>
    <row r="326" spans="3:5" ht="14.25" customHeight="1" x14ac:dyDescent="0.35">
      <c r="C326" s="51"/>
      <c r="E326" s="52"/>
    </row>
    <row r="327" spans="3:5" ht="14.25" customHeight="1" x14ac:dyDescent="0.35">
      <c r="C327" s="51"/>
      <c r="E327" s="52"/>
    </row>
    <row r="328" spans="3:5" ht="14.25" customHeight="1" x14ac:dyDescent="0.35">
      <c r="C328" s="51"/>
      <c r="E328" s="52"/>
    </row>
    <row r="329" spans="3:5" ht="14.25" customHeight="1" x14ac:dyDescent="0.35">
      <c r="C329" s="51"/>
      <c r="E329" s="52"/>
    </row>
    <row r="330" spans="3:5" ht="14.25" customHeight="1" x14ac:dyDescent="0.35">
      <c r="C330" s="51"/>
      <c r="E330" s="52"/>
    </row>
    <row r="331" spans="3:5" ht="14.25" customHeight="1" x14ac:dyDescent="0.35">
      <c r="C331" s="51"/>
      <c r="E331" s="52"/>
    </row>
    <row r="332" spans="3:5" ht="14.25" customHeight="1" x14ac:dyDescent="0.35">
      <c r="C332" s="51"/>
      <c r="E332" s="52"/>
    </row>
    <row r="333" spans="3:5" ht="14.25" customHeight="1" x14ac:dyDescent="0.35">
      <c r="C333" s="51"/>
      <c r="E333" s="52"/>
    </row>
    <row r="334" spans="3:5" ht="14.25" customHeight="1" x14ac:dyDescent="0.35">
      <c r="C334" s="51"/>
      <c r="E334" s="52"/>
    </row>
    <row r="335" spans="3:5" ht="14.25" customHeight="1" x14ac:dyDescent="0.35">
      <c r="C335" s="51"/>
      <c r="E335" s="52"/>
    </row>
    <row r="336" spans="3:5" ht="14.25" customHeight="1" x14ac:dyDescent="0.35">
      <c r="C336" s="51"/>
      <c r="E336" s="52"/>
    </row>
    <row r="337" spans="3:5" ht="14.25" customHeight="1" x14ac:dyDescent="0.35">
      <c r="C337" s="51"/>
      <c r="E337" s="52"/>
    </row>
    <row r="338" spans="3:5" ht="14.25" customHeight="1" x14ac:dyDescent="0.35">
      <c r="C338" s="51"/>
      <c r="E338" s="52"/>
    </row>
    <row r="339" spans="3:5" ht="14.25" customHeight="1" x14ac:dyDescent="0.35">
      <c r="C339" s="51"/>
      <c r="E339" s="52"/>
    </row>
    <row r="340" spans="3:5" ht="14.25" customHeight="1" x14ac:dyDescent="0.35">
      <c r="C340" s="51"/>
      <c r="E340" s="52"/>
    </row>
    <row r="341" spans="3:5" ht="14.25" customHeight="1" x14ac:dyDescent="0.35">
      <c r="C341" s="51"/>
      <c r="E341" s="52"/>
    </row>
    <row r="342" spans="3:5" ht="14.25" customHeight="1" x14ac:dyDescent="0.35">
      <c r="C342" s="51"/>
      <c r="E342" s="52"/>
    </row>
    <row r="343" spans="3:5" ht="14.25" customHeight="1" x14ac:dyDescent="0.35">
      <c r="C343" s="51"/>
      <c r="E343" s="52"/>
    </row>
    <row r="344" spans="3:5" ht="14.25" customHeight="1" x14ac:dyDescent="0.35">
      <c r="C344" s="51"/>
      <c r="E344" s="52"/>
    </row>
    <row r="345" spans="3:5" ht="14.25" customHeight="1" x14ac:dyDescent="0.35">
      <c r="C345" s="51"/>
      <c r="E345" s="52"/>
    </row>
    <row r="346" spans="3:5" ht="14.25" customHeight="1" x14ac:dyDescent="0.35">
      <c r="C346" s="51"/>
      <c r="E346" s="52"/>
    </row>
    <row r="347" spans="3:5" ht="14.25" customHeight="1" x14ac:dyDescent="0.35">
      <c r="C347" s="51"/>
      <c r="E347" s="52"/>
    </row>
    <row r="348" spans="3:5" ht="14.25" customHeight="1" x14ac:dyDescent="0.35">
      <c r="C348" s="51"/>
      <c r="E348" s="52"/>
    </row>
    <row r="349" spans="3:5" ht="14.25" customHeight="1" x14ac:dyDescent="0.35">
      <c r="C349" s="51"/>
      <c r="E349" s="52"/>
    </row>
    <row r="350" spans="3:5" ht="14.25" customHeight="1" x14ac:dyDescent="0.35">
      <c r="C350" s="51"/>
      <c r="E350" s="52"/>
    </row>
    <row r="351" spans="3:5" ht="14.25" customHeight="1" x14ac:dyDescent="0.35">
      <c r="C351" s="51"/>
      <c r="E351" s="52"/>
    </row>
    <row r="352" spans="3:5" ht="14.25" customHeight="1" x14ac:dyDescent="0.35">
      <c r="C352" s="51"/>
      <c r="E352" s="52"/>
    </row>
    <row r="353" spans="3:5" ht="14.25" customHeight="1" x14ac:dyDescent="0.35">
      <c r="C353" s="51"/>
      <c r="E353" s="52"/>
    </row>
    <row r="354" spans="3:5" ht="14.25" customHeight="1" x14ac:dyDescent="0.35">
      <c r="C354" s="51"/>
      <c r="E354" s="52"/>
    </row>
    <row r="355" spans="3:5" ht="14.25" customHeight="1" x14ac:dyDescent="0.35">
      <c r="C355" s="51"/>
      <c r="E355" s="52"/>
    </row>
    <row r="356" spans="3:5" ht="14.25" customHeight="1" x14ac:dyDescent="0.35">
      <c r="C356" s="51"/>
      <c r="E356" s="52"/>
    </row>
    <row r="357" spans="3:5" ht="14.25" customHeight="1" x14ac:dyDescent="0.35">
      <c r="C357" s="51"/>
      <c r="E357" s="52"/>
    </row>
    <row r="358" spans="3:5" ht="14.25" customHeight="1" x14ac:dyDescent="0.35">
      <c r="C358" s="51"/>
      <c r="E358" s="52"/>
    </row>
    <row r="359" spans="3:5" ht="14.25" customHeight="1" x14ac:dyDescent="0.35">
      <c r="C359" s="51"/>
      <c r="E359" s="52"/>
    </row>
    <row r="360" spans="3:5" ht="14.25" customHeight="1" x14ac:dyDescent="0.35">
      <c r="C360" s="51"/>
      <c r="E360" s="52"/>
    </row>
    <row r="361" spans="3:5" ht="14.25" customHeight="1" x14ac:dyDescent="0.35">
      <c r="C361" s="51"/>
      <c r="E361" s="52"/>
    </row>
    <row r="362" spans="3:5" ht="14.25" customHeight="1" x14ac:dyDescent="0.35">
      <c r="C362" s="51"/>
      <c r="E362" s="52"/>
    </row>
    <row r="363" spans="3:5" ht="14.25" customHeight="1" x14ac:dyDescent="0.35">
      <c r="C363" s="51"/>
      <c r="E363" s="52"/>
    </row>
    <row r="364" spans="3:5" ht="14.25" customHeight="1" x14ac:dyDescent="0.35">
      <c r="C364" s="51"/>
      <c r="E364" s="52"/>
    </row>
    <row r="365" spans="3:5" ht="14.25" customHeight="1" x14ac:dyDescent="0.35">
      <c r="C365" s="51"/>
      <c r="E365" s="52"/>
    </row>
    <row r="366" spans="3:5" ht="14.25" customHeight="1" x14ac:dyDescent="0.35">
      <c r="C366" s="51"/>
      <c r="E366" s="52"/>
    </row>
    <row r="367" spans="3:5" ht="14.25" customHeight="1" x14ac:dyDescent="0.35">
      <c r="C367" s="51"/>
      <c r="E367" s="52"/>
    </row>
    <row r="368" spans="3:5" ht="14.25" customHeight="1" x14ac:dyDescent="0.35">
      <c r="C368" s="51"/>
      <c r="E368" s="52"/>
    </row>
    <row r="369" spans="3:5" ht="14.25" customHeight="1" x14ac:dyDescent="0.35">
      <c r="C369" s="51"/>
      <c r="E369" s="52"/>
    </row>
    <row r="370" spans="3:5" ht="14.25" customHeight="1" x14ac:dyDescent="0.35">
      <c r="C370" s="51"/>
      <c r="E370" s="52"/>
    </row>
    <row r="371" spans="3:5" ht="14.25" customHeight="1" x14ac:dyDescent="0.35">
      <c r="C371" s="51"/>
      <c r="E371" s="52"/>
    </row>
    <row r="372" spans="3:5" ht="14.25" customHeight="1" x14ac:dyDescent="0.35">
      <c r="C372" s="51"/>
      <c r="E372" s="52"/>
    </row>
    <row r="373" spans="3:5" ht="14.25" customHeight="1" x14ac:dyDescent="0.35">
      <c r="C373" s="51"/>
      <c r="E373" s="52"/>
    </row>
    <row r="374" spans="3:5" ht="14.25" customHeight="1" x14ac:dyDescent="0.35">
      <c r="C374" s="51"/>
      <c r="E374" s="52"/>
    </row>
    <row r="375" spans="3:5" ht="14.25" customHeight="1" x14ac:dyDescent="0.35">
      <c r="C375" s="51"/>
      <c r="E375" s="52"/>
    </row>
    <row r="376" spans="3:5" ht="14.25" customHeight="1" x14ac:dyDescent="0.35">
      <c r="C376" s="51"/>
      <c r="E376" s="52"/>
    </row>
    <row r="377" spans="3:5" ht="14.25" customHeight="1" x14ac:dyDescent="0.35">
      <c r="C377" s="51"/>
      <c r="E377" s="52"/>
    </row>
    <row r="378" spans="3:5" ht="14.25" customHeight="1" x14ac:dyDescent="0.35">
      <c r="C378" s="51"/>
      <c r="E378" s="52"/>
    </row>
    <row r="379" spans="3:5" ht="14.25" customHeight="1" x14ac:dyDescent="0.35">
      <c r="C379" s="51"/>
      <c r="E379" s="52"/>
    </row>
    <row r="380" spans="3:5" ht="14.25" customHeight="1" x14ac:dyDescent="0.35">
      <c r="C380" s="51"/>
      <c r="E380" s="52"/>
    </row>
    <row r="381" spans="3:5" ht="14.25" customHeight="1" x14ac:dyDescent="0.35">
      <c r="C381" s="51"/>
      <c r="E381" s="52"/>
    </row>
    <row r="382" spans="3:5" ht="14.25" customHeight="1" x14ac:dyDescent="0.35">
      <c r="C382" s="51"/>
      <c r="E382" s="52"/>
    </row>
    <row r="383" spans="3:5" ht="14.25" customHeight="1" x14ac:dyDescent="0.35">
      <c r="C383" s="51"/>
      <c r="E383" s="52"/>
    </row>
    <row r="384" spans="3:5" ht="14.25" customHeight="1" x14ac:dyDescent="0.35">
      <c r="C384" s="51"/>
      <c r="E384" s="52"/>
    </row>
    <row r="385" spans="3:5" ht="14.25" customHeight="1" x14ac:dyDescent="0.35">
      <c r="C385" s="51"/>
      <c r="E385" s="52"/>
    </row>
    <row r="386" spans="3:5" ht="14.25" customHeight="1" x14ac:dyDescent="0.35">
      <c r="C386" s="51"/>
      <c r="E386" s="52"/>
    </row>
    <row r="387" spans="3:5" ht="14.25" customHeight="1" x14ac:dyDescent="0.35">
      <c r="C387" s="51"/>
      <c r="E387" s="52"/>
    </row>
    <row r="388" spans="3:5" ht="14.25" customHeight="1" x14ac:dyDescent="0.35">
      <c r="C388" s="51"/>
      <c r="E388" s="52"/>
    </row>
    <row r="389" spans="3:5" ht="14.25" customHeight="1" x14ac:dyDescent="0.35">
      <c r="C389" s="51"/>
      <c r="E389" s="52"/>
    </row>
    <row r="390" spans="3:5" ht="14.25" customHeight="1" x14ac:dyDescent="0.35">
      <c r="C390" s="51"/>
      <c r="E390" s="52"/>
    </row>
    <row r="391" spans="3:5" ht="14.25" customHeight="1" x14ac:dyDescent="0.35">
      <c r="C391" s="51"/>
      <c r="E391" s="52"/>
    </row>
    <row r="392" spans="3:5" ht="14.25" customHeight="1" x14ac:dyDescent="0.35">
      <c r="C392" s="51"/>
      <c r="E392" s="52"/>
    </row>
    <row r="393" spans="3:5" ht="14.25" customHeight="1" x14ac:dyDescent="0.35">
      <c r="C393" s="51"/>
      <c r="E393" s="52"/>
    </row>
    <row r="394" spans="3:5" ht="14.25" customHeight="1" x14ac:dyDescent="0.35">
      <c r="C394" s="51"/>
      <c r="E394" s="52"/>
    </row>
    <row r="395" spans="3:5" ht="14.25" customHeight="1" x14ac:dyDescent="0.35">
      <c r="C395" s="51"/>
      <c r="E395" s="52"/>
    </row>
    <row r="396" spans="3:5" ht="14.25" customHeight="1" x14ac:dyDescent="0.35">
      <c r="C396" s="51"/>
      <c r="E396" s="52"/>
    </row>
    <row r="397" spans="3:5" ht="14.25" customHeight="1" x14ac:dyDescent="0.35">
      <c r="C397" s="51"/>
      <c r="E397" s="52"/>
    </row>
    <row r="398" spans="3:5" ht="14.25" customHeight="1" x14ac:dyDescent="0.35">
      <c r="C398" s="51"/>
      <c r="E398" s="52"/>
    </row>
    <row r="399" spans="3:5" ht="14.25" customHeight="1" x14ac:dyDescent="0.35">
      <c r="C399" s="51"/>
      <c r="E399" s="52"/>
    </row>
    <row r="400" spans="3:5" ht="14.25" customHeight="1" x14ac:dyDescent="0.35">
      <c r="C400" s="51"/>
      <c r="E400" s="52"/>
    </row>
    <row r="401" spans="3:5" ht="14.25" customHeight="1" x14ac:dyDescent="0.35">
      <c r="C401" s="51"/>
      <c r="E401" s="52"/>
    </row>
    <row r="402" spans="3:5" ht="14.25" customHeight="1" x14ac:dyDescent="0.35">
      <c r="C402" s="51"/>
      <c r="E402" s="52"/>
    </row>
    <row r="403" spans="3:5" ht="14.25" customHeight="1" x14ac:dyDescent="0.35">
      <c r="C403" s="51"/>
      <c r="E403" s="52"/>
    </row>
    <row r="404" spans="3:5" ht="14.25" customHeight="1" x14ac:dyDescent="0.35">
      <c r="C404" s="51"/>
      <c r="E404" s="52"/>
    </row>
    <row r="405" spans="3:5" ht="14.25" customHeight="1" x14ac:dyDescent="0.35">
      <c r="C405" s="51"/>
      <c r="E405" s="52"/>
    </row>
    <row r="406" spans="3:5" ht="14.25" customHeight="1" x14ac:dyDescent="0.35">
      <c r="C406" s="51"/>
      <c r="E406" s="52"/>
    </row>
    <row r="407" spans="3:5" ht="14.25" customHeight="1" x14ac:dyDescent="0.35">
      <c r="C407" s="51"/>
      <c r="E407" s="52"/>
    </row>
    <row r="408" spans="3:5" ht="14.25" customHeight="1" x14ac:dyDescent="0.35">
      <c r="C408" s="51"/>
      <c r="E408" s="52"/>
    </row>
    <row r="409" spans="3:5" ht="14.25" customHeight="1" x14ac:dyDescent="0.35">
      <c r="C409" s="51"/>
      <c r="E409" s="52"/>
    </row>
    <row r="410" spans="3:5" ht="14.25" customHeight="1" x14ac:dyDescent="0.35">
      <c r="C410" s="51"/>
      <c r="E410" s="52"/>
    </row>
    <row r="411" spans="3:5" ht="14.25" customHeight="1" x14ac:dyDescent="0.35">
      <c r="C411" s="51"/>
      <c r="E411" s="52"/>
    </row>
    <row r="412" spans="3:5" ht="14.25" customHeight="1" x14ac:dyDescent="0.35">
      <c r="C412" s="51"/>
      <c r="E412" s="52"/>
    </row>
    <row r="413" spans="3:5" ht="14.25" customHeight="1" x14ac:dyDescent="0.35">
      <c r="C413" s="51"/>
      <c r="E413" s="52"/>
    </row>
    <row r="414" spans="3:5" ht="14.25" customHeight="1" x14ac:dyDescent="0.35">
      <c r="C414" s="51"/>
      <c r="E414" s="52"/>
    </row>
    <row r="415" spans="3:5" ht="14.25" customHeight="1" x14ac:dyDescent="0.35">
      <c r="C415" s="51"/>
      <c r="E415" s="52"/>
    </row>
    <row r="416" spans="3:5" ht="14.25" customHeight="1" x14ac:dyDescent="0.35">
      <c r="C416" s="51"/>
      <c r="E416" s="52"/>
    </row>
    <row r="417" spans="3:5" ht="14.25" customHeight="1" x14ac:dyDescent="0.35">
      <c r="C417" s="51"/>
      <c r="E417" s="52"/>
    </row>
    <row r="418" spans="3:5" ht="14.25" customHeight="1" x14ac:dyDescent="0.35">
      <c r="C418" s="51"/>
      <c r="E418" s="52"/>
    </row>
    <row r="419" spans="3:5" ht="14.25" customHeight="1" x14ac:dyDescent="0.35">
      <c r="C419" s="51"/>
      <c r="E419" s="52"/>
    </row>
    <row r="420" spans="3:5" ht="14.25" customHeight="1" x14ac:dyDescent="0.35">
      <c r="C420" s="51"/>
      <c r="E420" s="52"/>
    </row>
    <row r="421" spans="3:5" ht="14.25" customHeight="1" x14ac:dyDescent="0.35">
      <c r="C421" s="51"/>
      <c r="E421" s="52"/>
    </row>
    <row r="422" spans="3:5" ht="14.25" customHeight="1" x14ac:dyDescent="0.35">
      <c r="C422" s="51"/>
      <c r="E422" s="52"/>
    </row>
    <row r="423" spans="3:5" ht="14.25" customHeight="1" x14ac:dyDescent="0.35">
      <c r="C423" s="51"/>
      <c r="E423" s="52"/>
    </row>
    <row r="424" spans="3:5" ht="14.25" customHeight="1" x14ac:dyDescent="0.35">
      <c r="C424" s="51"/>
      <c r="E424" s="52"/>
    </row>
    <row r="425" spans="3:5" ht="14.25" customHeight="1" x14ac:dyDescent="0.35">
      <c r="C425" s="51"/>
      <c r="E425" s="52"/>
    </row>
    <row r="426" spans="3:5" ht="14.25" customHeight="1" x14ac:dyDescent="0.35">
      <c r="C426" s="51"/>
      <c r="E426" s="52"/>
    </row>
    <row r="427" spans="3:5" ht="14.25" customHeight="1" x14ac:dyDescent="0.35">
      <c r="C427" s="51"/>
      <c r="E427" s="52"/>
    </row>
    <row r="428" spans="3:5" ht="14.25" customHeight="1" x14ac:dyDescent="0.35">
      <c r="C428" s="51"/>
      <c r="E428" s="52"/>
    </row>
    <row r="429" spans="3:5" ht="14.25" customHeight="1" x14ac:dyDescent="0.35">
      <c r="C429" s="51"/>
      <c r="E429" s="52"/>
    </row>
    <row r="430" spans="3:5" ht="14.25" customHeight="1" x14ac:dyDescent="0.35">
      <c r="C430" s="51"/>
      <c r="E430" s="52"/>
    </row>
    <row r="431" spans="3:5" ht="14.25" customHeight="1" x14ac:dyDescent="0.35">
      <c r="C431" s="51"/>
      <c r="E431" s="52"/>
    </row>
    <row r="432" spans="3:5" ht="14.25" customHeight="1" x14ac:dyDescent="0.35">
      <c r="C432" s="51"/>
      <c r="E432" s="52"/>
    </row>
    <row r="433" spans="3:5" ht="14.25" customHeight="1" x14ac:dyDescent="0.35">
      <c r="C433" s="51"/>
      <c r="E433" s="52"/>
    </row>
    <row r="434" spans="3:5" ht="14.25" customHeight="1" x14ac:dyDescent="0.35">
      <c r="C434" s="51"/>
      <c r="E434" s="52"/>
    </row>
    <row r="435" spans="3:5" ht="14.25" customHeight="1" x14ac:dyDescent="0.35">
      <c r="C435" s="51"/>
      <c r="E435" s="52"/>
    </row>
    <row r="436" spans="3:5" ht="14.25" customHeight="1" x14ac:dyDescent="0.35">
      <c r="C436" s="51"/>
      <c r="E436" s="52"/>
    </row>
    <row r="437" spans="3:5" ht="14.25" customHeight="1" x14ac:dyDescent="0.35">
      <c r="C437" s="51"/>
      <c r="E437" s="52"/>
    </row>
    <row r="438" spans="3:5" ht="14.25" customHeight="1" x14ac:dyDescent="0.35">
      <c r="C438" s="51"/>
      <c r="E438" s="52"/>
    </row>
    <row r="439" spans="3:5" ht="14.25" customHeight="1" x14ac:dyDescent="0.35">
      <c r="C439" s="51"/>
      <c r="E439" s="52"/>
    </row>
    <row r="440" spans="3:5" ht="14.25" customHeight="1" x14ac:dyDescent="0.35">
      <c r="C440" s="51"/>
      <c r="E440" s="52"/>
    </row>
    <row r="441" spans="3:5" ht="14.25" customHeight="1" x14ac:dyDescent="0.35">
      <c r="C441" s="51"/>
      <c r="E441" s="52"/>
    </row>
    <row r="442" spans="3:5" ht="14.25" customHeight="1" x14ac:dyDescent="0.35">
      <c r="C442" s="51"/>
      <c r="E442" s="52"/>
    </row>
    <row r="443" spans="3:5" ht="14.25" customHeight="1" x14ac:dyDescent="0.35">
      <c r="C443" s="51"/>
      <c r="E443" s="52"/>
    </row>
    <row r="444" spans="3:5" ht="14.25" customHeight="1" x14ac:dyDescent="0.35">
      <c r="C444" s="51"/>
      <c r="E444" s="52"/>
    </row>
    <row r="445" spans="3:5" ht="14.25" customHeight="1" x14ac:dyDescent="0.35">
      <c r="C445" s="51"/>
      <c r="E445" s="52"/>
    </row>
    <row r="446" spans="3:5" ht="14.25" customHeight="1" x14ac:dyDescent="0.35">
      <c r="C446" s="51"/>
      <c r="E446" s="52"/>
    </row>
    <row r="447" spans="3:5" ht="14.25" customHeight="1" x14ac:dyDescent="0.35">
      <c r="C447" s="51"/>
      <c r="E447" s="52"/>
    </row>
    <row r="448" spans="3:5" ht="14.25" customHeight="1" x14ac:dyDescent="0.35">
      <c r="C448" s="51"/>
      <c r="E448" s="52"/>
    </row>
    <row r="449" spans="3:5" ht="14.25" customHeight="1" x14ac:dyDescent="0.35">
      <c r="C449" s="51"/>
      <c r="E449" s="52"/>
    </row>
    <row r="450" spans="3:5" ht="14.25" customHeight="1" x14ac:dyDescent="0.35">
      <c r="C450" s="51"/>
      <c r="E450" s="52"/>
    </row>
    <row r="451" spans="3:5" ht="14.25" customHeight="1" x14ac:dyDescent="0.35">
      <c r="C451" s="51"/>
      <c r="E451" s="52"/>
    </row>
    <row r="452" spans="3:5" ht="14.25" customHeight="1" x14ac:dyDescent="0.35">
      <c r="C452" s="51"/>
      <c r="E452" s="52"/>
    </row>
    <row r="453" spans="3:5" ht="14.25" customHeight="1" x14ac:dyDescent="0.35">
      <c r="C453" s="51"/>
      <c r="E453" s="52"/>
    </row>
    <row r="454" spans="3:5" ht="14.25" customHeight="1" x14ac:dyDescent="0.35">
      <c r="C454" s="51"/>
      <c r="E454" s="52"/>
    </row>
    <row r="455" spans="3:5" ht="14.25" customHeight="1" x14ac:dyDescent="0.35">
      <c r="C455" s="51"/>
      <c r="E455" s="52"/>
    </row>
    <row r="456" spans="3:5" ht="14.25" customHeight="1" x14ac:dyDescent="0.35">
      <c r="C456" s="51"/>
      <c r="E456" s="52"/>
    </row>
    <row r="457" spans="3:5" ht="14.25" customHeight="1" x14ac:dyDescent="0.35">
      <c r="C457" s="51"/>
      <c r="E457" s="52"/>
    </row>
    <row r="458" spans="3:5" ht="14.25" customHeight="1" x14ac:dyDescent="0.35">
      <c r="C458" s="51"/>
      <c r="E458" s="52"/>
    </row>
    <row r="459" spans="3:5" ht="14.25" customHeight="1" x14ac:dyDescent="0.35">
      <c r="C459" s="51"/>
      <c r="E459" s="52"/>
    </row>
    <row r="460" spans="3:5" ht="14.25" customHeight="1" x14ac:dyDescent="0.35">
      <c r="C460" s="51"/>
      <c r="E460" s="52"/>
    </row>
    <row r="461" spans="3:5" ht="14.25" customHeight="1" x14ac:dyDescent="0.35">
      <c r="C461" s="51"/>
      <c r="E461" s="52"/>
    </row>
    <row r="462" spans="3:5" ht="14.25" customHeight="1" x14ac:dyDescent="0.35">
      <c r="C462" s="51"/>
      <c r="E462" s="52"/>
    </row>
    <row r="463" spans="3:5" ht="14.25" customHeight="1" x14ac:dyDescent="0.35">
      <c r="C463" s="51"/>
      <c r="E463" s="52"/>
    </row>
    <row r="464" spans="3:5" ht="14.25" customHeight="1" x14ac:dyDescent="0.35">
      <c r="C464" s="51"/>
      <c r="E464" s="52"/>
    </row>
    <row r="465" spans="3:5" ht="14.25" customHeight="1" x14ac:dyDescent="0.35">
      <c r="C465" s="51"/>
      <c r="E465" s="52"/>
    </row>
    <row r="466" spans="3:5" ht="14.25" customHeight="1" x14ac:dyDescent="0.35">
      <c r="C466" s="51"/>
      <c r="E466" s="52"/>
    </row>
    <row r="467" spans="3:5" ht="14.25" customHeight="1" x14ac:dyDescent="0.35">
      <c r="C467" s="51"/>
      <c r="E467" s="52"/>
    </row>
    <row r="468" spans="3:5" ht="14.25" customHeight="1" x14ac:dyDescent="0.35">
      <c r="C468" s="51"/>
      <c r="E468" s="52"/>
    </row>
    <row r="469" spans="3:5" ht="14.25" customHeight="1" x14ac:dyDescent="0.35">
      <c r="C469" s="51"/>
      <c r="E469" s="52"/>
    </row>
    <row r="470" spans="3:5" ht="14.25" customHeight="1" x14ac:dyDescent="0.35">
      <c r="C470" s="51"/>
      <c r="E470" s="52"/>
    </row>
    <row r="471" spans="3:5" ht="14.25" customHeight="1" x14ac:dyDescent="0.35">
      <c r="C471" s="51"/>
      <c r="E471" s="52"/>
    </row>
    <row r="472" spans="3:5" ht="14.25" customHeight="1" x14ac:dyDescent="0.35">
      <c r="C472" s="51"/>
      <c r="E472" s="52"/>
    </row>
    <row r="473" spans="3:5" ht="14.25" customHeight="1" x14ac:dyDescent="0.35">
      <c r="C473" s="51"/>
      <c r="E473" s="52"/>
    </row>
    <row r="474" spans="3:5" ht="14.25" customHeight="1" x14ac:dyDescent="0.35">
      <c r="C474" s="51"/>
      <c r="E474" s="52"/>
    </row>
    <row r="475" spans="3:5" ht="14.25" customHeight="1" x14ac:dyDescent="0.35">
      <c r="C475" s="51"/>
      <c r="E475" s="52"/>
    </row>
    <row r="476" spans="3:5" ht="14.25" customHeight="1" x14ac:dyDescent="0.35">
      <c r="C476" s="51"/>
      <c r="E476" s="52"/>
    </row>
    <row r="477" spans="3:5" ht="14.25" customHeight="1" x14ac:dyDescent="0.35">
      <c r="C477" s="51"/>
      <c r="E477" s="52"/>
    </row>
    <row r="478" spans="3:5" ht="14.25" customHeight="1" x14ac:dyDescent="0.35">
      <c r="C478" s="51"/>
      <c r="E478" s="52"/>
    </row>
    <row r="479" spans="3:5" ht="14.25" customHeight="1" x14ac:dyDescent="0.35">
      <c r="C479" s="51"/>
      <c r="E479" s="52"/>
    </row>
    <row r="480" spans="3:5" ht="14.25" customHeight="1" x14ac:dyDescent="0.35">
      <c r="C480" s="51"/>
      <c r="E480" s="52"/>
    </row>
    <row r="481" spans="3:5" ht="14.25" customHeight="1" x14ac:dyDescent="0.35">
      <c r="C481" s="51"/>
      <c r="E481" s="52"/>
    </row>
    <row r="482" spans="3:5" ht="14.25" customHeight="1" x14ac:dyDescent="0.35">
      <c r="C482" s="51"/>
      <c r="E482" s="52"/>
    </row>
    <row r="483" spans="3:5" ht="14.25" customHeight="1" x14ac:dyDescent="0.35">
      <c r="C483" s="51"/>
      <c r="E483" s="52"/>
    </row>
    <row r="484" spans="3:5" ht="14.25" customHeight="1" x14ac:dyDescent="0.35">
      <c r="C484" s="51"/>
      <c r="E484" s="52"/>
    </row>
    <row r="485" spans="3:5" ht="14.25" customHeight="1" x14ac:dyDescent="0.35">
      <c r="C485" s="51"/>
      <c r="E485" s="52"/>
    </row>
    <row r="486" spans="3:5" ht="14.25" customHeight="1" x14ac:dyDescent="0.35">
      <c r="C486" s="51"/>
      <c r="E486" s="52"/>
    </row>
    <row r="487" spans="3:5" ht="14.25" customHeight="1" x14ac:dyDescent="0.35">
      <c r="C487" s="51"/>
      <c r="E487" s="52"/>
    </row>
    <row r="488" spans="3:5" ht="14.25" customHeight="1" x14ac:dyDescent="0.35">
      <c r="C488" s="51"/>
      <c r="E488" s="52"/>
    </row>
    <row r="489" spans="3:5" ht="14.25" customHeight="1" x14ac:dyDescent="0.35">
      <c r="C489" s="51"/>
      <c r="E489" s="52"/>
    </row>
    <row r="490" spans="3:5" ht="14.25" customHeight="1" x14ac:dyDescent="0.35">
      <c r="C490" s="51"/>
      <c r="E490" s="52"/>
    </row>
    <row r="491" spans="3:5" ht="14.25" customHeight="1" x14ac:dyDescent="0.35">
      <c r="C491" s="51"/>
      <c r="E491" s="52"/>
    </row>
    <row r="492" spans="3:5" ht="14.25" customHeight="1" x14ac:dyDescent="0.35">
      <c r="C492" s="51"/>
      <c r="E492" s="52"/>
    </row>
    <row r="493" spans="3:5" ht="14.25" customHeight="1" x14ac:dyDescent="0.35">
      <c r="C493" s="51"/>
      <c r="E493" s="52"/>
    </row>
    <row r="494" spans="3:5" ht="14.25" customHeight="1" x14ac:dyDescent="0.35">
      <c r="C494" s="51"/>
      <c r="E494" s="52"/>
    </row>
    <row r="495" spans="3:5" ht="14.25" customHeight="1" x14ac:dyDescent="0.35">
      <c r="C495" s="51"/>
      <c r="E495" s="52"/>
    </row>
    <row r="496" spans="3:5" ht="14.25" customHeight="1" x14ac:dyDescent="0.35">
      <c r="C496" s="51"/>
      <c r="E496" s="52"/>
    </row>
    <row r="497" spans="3:5" ht="14.25" customHeight="1" x14ac:dyDescent="0.35">
      <c r="C497" s="51"/>
      <c r="E497" s="52"/>
    </row>
    <row r="498" spans="3:5" ht="14.25" customHeight="1" x14ac:dyDescent="0.35">
      <c r="C498" s="51"/>
      <c r="E498" s="52"/>
    </row>
    <row r="499" spans="3:5" ht="14.25" customHeight="1" x14ac:dyDescent="0.35">
      <c r="C499" s="51"/>
      <c r="E499" s="52"/>
    </row>
    <row r="500" spans="3:5" ht="14.25" customHeight="1" x14ac:dyDescent="0.35">
      <c r="C500" s="51"/>
      <c r="E500" s="52"/>
    </row>
    <row r="501" spans="3:5" ht="14.25" customHeight="1" x14ac:dyDescent="0.35">
      <c r="C501" s="51"/>
      <c r="E501" s="52"/>
    </row>
    <row r="502" spans="3:5" ht="14.25" customHeight="1" x14ac:dyDescent="0.35">
      <c r="C502" s="51"/>
      <c r="E502" s="52"/>
    </row>
    <row r="503" spans="3:5" ht="14.25" customHeight="1" x14ac:dyDescent="0.35">
      <c r="C503" s="51"/>
      <c r="E503" s="52"/>
    </row>
    <row r="504" spans="3:5" ht="14.25" customHeight="1" x14ac:dyDescent="0.35">
      <c r="C504" s="51"/>
      <c r="E504" s="52"/>
    </row>
    <row r="505" spans="3:5" ht="14.25" customHeight="1" x14ac:dyDescent="0.35">
      <c r="C505" s="51"/>
      <c r="E505" s="52"/>
    </row>
    <row r="506" spans="3:5" ht="14.25" customHeight="1" x14ac:dyDescent="0.35">
      <c r="C506" s="51"/>
      <c r="E506" s="52"/>
    </row>
    <row r="507" spans="3:5" ht="14.25" customHeight="1" x14ac:dyDescent="0.35">
      <c r="C507" s="51"/>
      <c r="E507" s="52"/>
    </row>
    <row r="508" spans="3:5" ht="14.25" customHeight="1" x14ac:dyDescent="0.35">
      <c r="C508" s="51"/>
      <c r="E508" s="52"/>
    </row>
    <row r="509" spans="3:5" ht="14.25" customHeight="1" x14ac:dyDescent="0.35">
      <c r="C509" s="51"/>
      <c r="E509" s="52"/>
    </row>
    <row r="510" spans="3:5" ht="14.25" customHeight="1" x14ac:dyDescent="0.35">
      <c r="C510" s="51"/>
      <c r="E510" s="52"/>
    </row>
    <row r="511" spans="3:5" ht="14.25" customHeight="1" x14ac:dyDescent="0.35">
      <c r="C511" s="51"/>
      <c r="E511" s="52"/>
    </row>
    <row r="512" spans="3:5" ht="14.25" customHeight="1" x14ac:dyDescent="0.35">
      <c r="C512" s="51"/>
      <c r="E512" s="52"/>
    </row>
    <row r="513" spans="3:5" ht="14.25" customHeight="1" x14ac:dyDescent="0.35">
      <c r="C513" s="51"/>
      <c r="E513" s="52"/>
    </row>
    <row r="514" spans="3:5" ht="14.25" customHeight="1" x14ac:dyDescent="0.35">
      <c r="C514" s="51"/>
      <c r="E514" s="52"/>
    </row>
    <row r="515" spans="3:5" ht="14.25" customHeight="1" x14ac:dyDescent="0.35">
      <c r="C515" s="51"/>
      <c r="E515" s="52"/>
    </row>
    <row r="516" spans="3:5" ht="14.25" customHeight="1" x14ac:dyDescent="0.35">
      <c r="C516" s="51"/>
      <c r="E516" s="52"/>
    </row>
    <row r="517" spans="3:5" ht="14.25" customHeight="1" x14ac:dyDescent="0.35">
      <c r="C517" s="51"/>
      <c r="E517" s="52"/>
    </row>
    <row r="518" spans="3:5" ht="14.25" customHeight="1" x14ac:dyDescent="0.35">
      <c r="C518" s="51"/>
      <c r="E518" s="52"/>
    </row>
    <row r="519" spans="3:5" ht="14.25" customHeight="1" x14ac:dyDescent="0.35">
      <c r="C519" s="51"/>
      <c r="E519" s="52"/>
    </row>
    <row r="520" spans="3:5" ht="14.25" customHeight="1" x14ac:dyDescent="0.35">
      <c r="C520" s="51"/>
      <c r="E520" s="52"/>
    </row>
    <row r="521" spans="3:5" ht="14.25" customHeight="1" x14ac:dyDescent="0.35">
      <c r="C521" s="51"/>
      <c r="E521" s="52"/>
    </row>
    <row r="522" spans="3:5" ht="14.25" customHeight="1" x14ac:dyDescent="0.35">
      <c r="C522" s="51"/>
      <c r="E522" s="52"/>
    </row>
    <row r="523" spans="3:5" ht="14.25" customHeight="1" x14ac:dyDescent="0.35">
      <c r="C523" s="51"/>
      <c r="E523" s="52"/>
    </row>
    <row r="524" spans="3:5" ht="14.25" customHeight="1" x14ac:dyDescent="0.35">
      <c r="C524" s="51"/>
      <c r="E524" s="52"/>
    </row>
    <row r="525" spans="3:5" ht="14.25" customHeight="1" x14ac:dyDescent="0.35">
      <c r="C525" s="51"/>
      <c r="E525" s="52"/>
    </row>
    <row r="526" spans="3:5" ht="14.25" customHeight="1" x14ac:dyDescent="0.35">
      <c r="C526" s="51"/>
      <c r="E526" s="52"/>
    </row>
    <row r="527" spans="3:5" ht="14.25" customHeight="1" x14ac:dyDescent="0.35">
      <c r="C527" s="51"/>
      <c r="E527" s="52"/>
    </row>
    <row r="528" spans="3:5" ht="14.25" customHeight="1" x14ac:dyDescent="0.35">
      <c r="C528" s="51"/>
      <c r="E528" s="52"/>
    </row>
    <row r="529" spans="3:5" ht="14.25" customHeight="1" x14ac:dyDescent="0.35">
      <c r="C529" s="51"/>
      <c r="E529" s="52"/>
    </row>
    <row r="530" spans="3:5" ht="14.25" customHeight="1" x14ac:dyDescent="0.35">
      <c r="C530" s="51"/>
      <c r="E530" s="52"/>
    </row>
    <row r="531" spans="3:5" ht="14.25" customHeight="1" x14ac:dyDescent="0.35">
      <c r="C531" s="51"/>
      <c r="E531" s="52"/>
    </row>
    <row r="532" spans="3:5" ht="14.25" customHeight="1" x14ac:dyDescent="0.35">
      <c r="C532" s="51"/>
      <c r="E532" s="52"/>
    </row>
    <row r="533" spans="3:5" ht="14.25" customHeight="1" x14ac:dyDescent="0.35">
      <c r="C533" s="51"/>
      <c r="E533" s="52"/>
    </row>
    <row r="534" spans="3:5" ht="14.25" customHeight="1" x14ac:dyDescent="0.35">
      <c r="C534" s="51"/>
      <c r="E534" s="52"/>
    </row>
    <row r="535" spans="3:5" ht="14.25" customHeight="1" x14ac:dyDescent="0.35">
      <c r="C535" s="51"/>
      <c r="E535" s="52"/>
    </row>
    <row r="536" spans="3:5" ht="14.25" customHeight="1" x14ac:dyDescent="0.35">
      <c r="C536" s="51"/>
      <c r="E536" s="52"/>
    </row>
    <row r="537" spans="3:5" ht="14.25" customHeight="1" x14ac:dyDescent="0.35">
      <c r="C537" s="51"/>
      <c r="E537" s="52"/>
    </row>
    <row r="538" spans="3:5" ht="14.25" customHeight="1" x14ac:dyDescent="0.35">
      <c r="C538" s="51"/>
      <c r="E538" s="52"/>
    </row>
    <row r="539" spans="3:5" ht="14.25" customHeight="1" x14ac:dyDescent="0.35">
      <c r="C539" s="51"/>
      <c r="E539" s="52"/>
    </row>
    <row r="540" spans="3:5" ht="14.25" customHeight="1" x14ac:dyDescent="0.35">
      <c r="C540" s="51"/>
      <c r="E540" s="52"/>
    </row>
    <row r="541" spans="3:5" ht="14.25" customHeight="1" x14ac:dyDescent="0.35">
      <c r="C541" s="51"/>
      <c r="E541" s="52"/>
    </row>
    <row r="542" spans="3:5" ht="14.25" customHeight="1" x14ac:dyDescent="0.35">
      <c r="C542" s="51"/>
      <c r="E542" s="52"/>
    </row>
    <row r="543" spans="3:5" ht="14.25" customHeight="1" x14ac:dyDescent="0.35">
      <c r="C543" s="51"/>
      <c r="E543" s="52"/>
    </row>
    <row r="544" spans="3:5" ht="14.25" customHeight="1" x14ac:dyDescent="0.35">
      <c r="C544" s="51"/>
      <c r="E544" s="52"/>
    </row>
    <row r="545" spans="3:5" ht="14.25" customHeight="1" x14ac:dyDescent="0.35">
      <c r="C545" s="51"/>
      <c r="E545" s="52"/>
    </row>
    <row r="546" spans="3:5" ht="14.25" customHeight="1" x14ac:dyDescent="0.35">
      <c r="C546" s="51"/>
      <c r="E546" s="52"/>
    </row>
    <row r="547" spans="3:5" ht="14.25" customHeight="1" x14ac:dyDescent="0.35">
      <c r="C547" s="51"/>
      <c r="E547" s="52"/>
    </row>
    <row r="548" spans="3:5" ht="14.25" customHeight="1" x14ac:dyDescent="0.35">
      <c r="C548" s="51"/>
      <c r="E548" s="52"/>
    </row>
    <row r="549" spans="3:5" ht="14.25" customHeight="1" x14ac:dyDescent="0.35">
      <c r="C549" s="51"/>
      <c r="E549" s="52"/>
    </row>
    <row r="550" spans="3:5" ht="14.25" customHeight="1" x14ac:dyDescent="0.35">
      <c r="C550" s="51"/>
      <c r="E550" s="52"/>
    </row>
    <row r="551" spans="3:5" ht="14.25" customHeight="1" x14ac:dyDescent="0.35">
      <c r="C551" s="51"/>
      <c r="E551" s="52"/>
    </row>
    <row r="552" spans="3:5" ht="14.25" customHeight="1" x14ac:dyDescent="0.35">
      <c r="C552" s="51"/>
      <c r="E552" s="52"/>
    </row>
    <row r="553" spans="3:5" ht="14.25" customHeight="1" x14ac:dyDescent="0.35">
      <c r="C553" s="51"/>
      <c r="E553" s="52"/>
    </row>
    <row r="554" spans="3:5" ht="14.25" customHeight="1" x14ac:dyDescent="0.35">
      <c r="C554" s="51"/>
      <c r="E554" s="52"/>
    </row>
    <row r="555" spans="3:5" ht="14.25" customHeight="1" x14ac:dyDescent="0.35">
      <c r="C555" s="51"/>
      <c r="E555" s="52"/>
    </row>
    <row r="556" spans="3:5" ht="14.25" customHeight="1" x14ac:dyDescent="0.35">
      <c r="C556" s="51"/>
      <c r="E556" s="52"/>
    </row>
    <row r="557" spans="3:5" ht="14.25" customHeight="1" x14ac:dyDescent="0.35">
      <c r="C557" s="51"/>
      <c r="E557" s="52"/>
    </row>
    <row r="558" spans="3:5" ht="14.25" customHeight="1" x14ac:dyDescent="0.35">
      <c r="C558" s="51"/>
      <c r="E558" s="52"/>
    </row>
    <row r="559" spans="3:5" ht="14.25" customHeight="1" x14ac:dyDescent="0.35">
      <c r="C559" s="51"/>
      <c r="E559" s="52"/>
    </row>
    <row r="560" spans="3:5" ht="14.25" customHeight="1" x14ac:dyDescent="0.35">
      <c r="C560" s="51"/>
      <c r="E560" s="52"/>
    </row>
    <row r="561" spans="3:5" ht="14.25" customHeight="1" x14ac:dyDescent="0.35">
      <c r="C561" s="51"/>
      <c r="E561" s="52"/>
    </row>
    <row r="562" spans="3:5" ht="14.25" customHeight="1" x14ac:dyDescent="0.35">
      <c r="C562" s="51"/>
      <c r="E562" s="52"/>
    </row>
    <row r="563" spans="3:5" ht="14.25" customHeight="1" x14ac:dyDescent="0.35">
      <c r="C563" s="51"/>
      <c r="E563" s="52"/>
    </row>
    <row r="564" spans="3:5" ht="14.25" customHeight="1" x14ac:dyDescent="0.35">
      <c r="C564" s="51"/>
      <c r="E564" s="52"/>
    </row>
    <row r="565" spans="3:5" ht="14.25" customHeight="1" x14ac:dyDescent="0.35">
      <c r="C565" s="51"/>
      <c r="E565" s="52"/>
    </row>
    <row r="566" spans="3:5" ht="14.25" customHeight="1" x14ac:dyDescent="0.35">
      <c r="C566" s="51"/>
      <c r="E566" s="52"/>
    </row>
    <row r="567" spans="3:5" ht="14.25" customHeight="1" x14ac:dyDescent="0.35">
      <c r="C567" s="51"/>
      <c r="E567" s="52"/>
    </row>
    <row r="568" spans="3:5" ht="14.25" customHeight="1" x14ac:dyDescent="0.35">
      <c r="C568" s="51"/>
      <c r="E568" s="52"/>
    </row>
    <row r="569" spans="3:5" ht="14.25" customHeight="1" x14ac:dyDescent="0.35">
      <c r="C569" s="51"/>
      <c r="E569" s="52"/>
    </row>
    <row r="570" spans="3:5" ht="14.25" customHeight="1" x14ac:dyDescent="0.35">
      <c r="C570" s="51"/>
      <c r="E570" s="52"/>
    </row>
    <row r="571" spans="3:5" ht="14.25" customHeight="1" x14ac:dyDescent="0.35">
      <c r="C571" s="51"/>
      <c r="E571" s="52"/>
    </row>
    <row r="572" spans="3:5" ht="14.25" customHeight="1" x14ac:dyDescent="0.35">
      <c r="C572" s="51"/>
      <c r="E572" s="52"/>
    </row>
    <row r="573" spans="3:5" ht="14.25" customHeight="1" x14ac:dyDescent="0.35">
      <c r="C573" s="51"/>
      <c r="E573" s="52"/>
    </row>
    <row r="574" spans="3:5" ht="14.25" customHeight="1" x14ac:dyDescent="0.35">
      <c r="C574" s="51"/>
      <c r="E574" s="52"/>
    </row>
    <row r="575" spans="3:5" ht="14.25" customHeight="1" x14ac:dyDescent="0.35">
      <c r="C575" s="51"/>
      <c r="E575" s="52"/>
    </row>
    <row r="576" spans="3:5" ht="14.25" customHeight="1" x14ac:dyDescent="0.35">
      <c r="C576" s="51"/>
      <c r="E576" s="52"/>
    </row>
    <row r="577" spans="3:5" ht="14.25" customHeight="1" x14ac:dyDescent="0.35">
      <c r="C577" s="51"/>
      <c r="E577" s="52"/>
    </row>
    <row r="578" spans="3:5" ht="14.25" customHeight="1" x14ac:dyDescent="0.35">
      <c r="C578" s="51"/>
      <c r="E578" s="52"/>
    </row>
    <row r="579" spans="3:5" ht="14.25" customHeight="1" x14ac:dyDescent="0.35">
      <c r="C579" s="51"/>
      <c r="E579" s="52"/>
    </row>
    <row r="580" spans="3:5" ht="14.25" customHeight="1" x14ac:dyDescent="0.35">
      <c r="C580" s="51"/>
      <c r="E580" s="52"/>
    </row>
    <row r="581" spans="3:5" ht="14.25" customHeight="1" x14ac:dyDescent="0.35">
      <c r="C581" s="51"/>
      <c r="E581" s="52"/>
    </row>
    <row r="582" spans="3:5" ht="14.25" customHeight="1" x14ac:dyDescent="0.35">
      <c r="C582" s="51"/>
      <c r="E582" s="52"/>
    </row>
    <row r="583" spans="3:5" ht="14.25" customHeight="1" x14ac:dyDescent="0.35">
      <c r="C583" s="51"/>
      <c r="E583" s="52"/>
    </row>
    <row r="584" spans="3:5" ht="14.25" customHeight="1" x14ac:dyDescent="0.35">
      <c r="C584" s="51"/>
      <c r="E584" s="52"/>
    </row>
    <row r="585" spans="3:5" ht="14.25" customHeight="1" x14ac:dyDescent="0.35">
      <c r="C585" s="51"/>
      <c r="E585" s="52"/>
    </row>
    <row r="586" spans="3:5" ht="14.25" customHeight="1" x14ac:dyDescent="0.35">
      <c r="C586" s="51"/>
      <c r="E586" s="52"/>
    </row>
    <row r="587" spans="3:5" ht="14.25" customHeight="1" x14ac:dyDescent="0.35">
      <c r="C587" s="51"/>
      <c r="E587" s="52"/>
    </row>
    <row r="588" spans="3:5" ht="14.25" customHeight="1" x14ac:dyDescent="0.35">
      <c r="C588" s="51"/>
      <c r="E588" s="52"/>
    </row>
    <row r="589" spans="3:5" ht="14.25" customHeight="1" x14ac:dyDescent="0.35">
      <c r="C589" s="51"/>
      <c r="E589" s="52"/>
    </row>
    <row r="590" spans="3:5" ht="14.25" customHeight="1" x14ac:dyDescent="0.35">
      <c r="C590" s="51"/>
      <c r="E590" s="52"/>
    </row>
    <row r="591" spans="3:5" ht="14.25" customHeight="1" x14ac:dyDescent="0.35">
      <c r="C591" s="51"/>
      <c r="E591" s="52"/>
    </row>
    <row r="592" spans="3:5" ht="14.25" customHeight="1" x14ac:dyDescent="0.35">
      <c r="C592" s="51"/>
      <c r="E592" s="52"/>
    </row>
    <row r="593" spans="3:5" ht="14.25" customHeight="1" x14ac:dyDescent="0.35">
      <c r="C593" s="51"/>
      <c r="E593" s="52"/>
    </row>
    <row r="594" spans="3:5" ht="14.25" customHeight="1" x14ac:dyDescent="0.35">
      <c r="C594" s="51"/>
      <c r="E594" s="52"/>
    </row>
    <row r="595" spans="3:5" ht="14.25" customHeight="1" x14ac:dyDescent="0.35">
      <c r="C595" s="51"/>
      <c r="E595" s="52"/>
    </row>
    <row r="596" spans="3:5" ht="14.25" customHeight="1" x14ac:dyDescent="0.35">
      <c r="C596" s="51"/>
      <c r="E596" s="52"/>
    </row>
    <row r="597" spans="3:5" ht="14.25" customHeight="1" x14ac:dyDescent="0.35">
      <c r="C597" s="51"/>
      <c r="E597" s="52"/>
    </row>
    <row r="598" spans="3:5" ht="14.25" customHeight="1" x14ac:dyDescent="0.35">
      <c r="C598" s="51"/>
      <c r="E598" s="52"/>
    </row>
    <row r="599" spans="3:5" ht="14.25" customHeight="1" x14ac:dyDescent="0.35">
      <c r="C599" s="51"/>
      <c r="E599" s="52"/>
    </row>
    <row r="600" spans="3:5" ht="14.25" customHeight="1" x14ac:dyDescent="0.35">
      <c r="C600" s="51"/>
      <c r="E600" s="52"/>
    </row>
    <row r="601" spans="3:5" ht="14.25" customHeight="1" x14ac:dyDescent="0.35">
      <c r="C601" s="51"/>
      <c r="E601" s="52"/>
    </row>
    <row r="602" spans="3:5" ht="14.25" customHeight="1" x14ac:dyDescent="0.35">
      <c r="C602" s="51"/>
      <c r="E602" s="52"/>
    </row>
    <row r="603" spans="3:5" ht="14.25" customHeight="1" x14ac:dyDescent="0.35">
      <c r="C603" s="51"/>
      <c r="E603" s="52"/>
    </row>
    <row r="604" spans="3:5" ht="14.25" customHeight="1" x14ac:dyDescent="0.35">
      <c r="C604" s="51"/>
      <c r="E604" s="52"/>
    </row>
    <row r="605" spans="3:5" ht="14.25" customHeight="1" x14ac:dyDescent="0.35">
      <c r="C605" s="51"/>
      <c r="E605" s="52"/>
    </row>
    <row r="606" spans="3:5" ht="14.25" customHeight="1" x14ac:dyDescent="0.35">
      <c r="C606" s="51"/>
      <c r="E606" s="52"/>
    </row>
    <row r="607" spans="3:5" ht="14.25" customHeight="1" x14ac:dyDescent="0.35">
      <c r="C607" s="51"/>
      <c r="E607" s="52"/>
    </row>
    <row r="608" spans="3:5" ht="14.25" customHeight="1" x14ac:dyDescent="0.35">
      <c r="C608" s="51"/>
      <c r="E608" s="52"/>
    </row>
    <row r="609" spans="3:5" ht="14.25" customHeight="1" x14ac:dyDescent="0.35">
      <c r="C609" s="51"/>
      <c r="E609" s="52"/>
    </row>
    <row r="610" spans="3:5" ht="14.25" customHeight="1" x14ac:dyDescent="0.35">
      <c r="C610" s="51"/>
      <c r="E610" s="52"/>
    </row>
    <row r="611" spans="3:5" ht="14.25" customHeight="1" x14ac:dyDescent="0.35">
      <c r="C611" s="51"/>
      <c r="E611" s="52"/>
    </row>
    <row r="612" spans="3:5" ht="14.25" customHeight="1" x14ac:dyDescent="0.35">
      <c r="C612" s="51"/>
      <c r="E612" s="52"/>
    </row>
    <row r="613" spans="3:5" ht="14.25" customHeight="1" x14ac:dyDescent="0.35">
      <c r="C613" s="51"/>
      <c r="E613" s="52"/>
    </row>
    <row r="614" spans="3:5" ht="14.25" customHeight="1" x14ac:dyDescent="0.35">
      <c r="C614" s="51"/>
      <c r="E614" s="52"/>
    </row>
    <row r="615" spans="3:5" ht="14.25" customHeight="1" x14ac:dyDescent="0.35">
      <c r="C615" s="51"/>
      <c r="E615" s="52"/>
    </row>
    <row r="616" spans="3:5" ht="14.25" customHeight="1" x14ac:dyDescent="0.35">
      <c r="C616" s="51"/>
      <c r="E616" s="52"/>
    </row>
    <row r="617" spans="3:5" ht="14.25" customHeight="1" x14ac:dyDescent="0.35">
      <c r="C617" s="51"/>
      <c r="E617" s="52"/>
    </row>
    <row r="618" spans="3:5" ht="14.25" customHeight="1" x14ac:dyDescent="0.35">
      <c r="C618" s="51"/>
      <c r="E618" s="52"/>
    </row>
    <row r="619" spans="3:5" ht="14.25" customHeight="1" x14ac:dyDescent="0.35">
      <c r="C619" s="51"/>
      <c r="E619" s="52"/>
    </row>
    <row r="620" spans="3:5" ht="14.25" customHeight="1" x14ac:dyDescent="0.35">
      <c r="C620" s="51"/>
      <c r="E620" s="52"/>
    </row>
    <row r="621" spans="3:5" ht="14.25" customHeight="1" x14ac:dyDescent="0.35">
      <c r="C621" s="51"/>
      <c r="E621" s="52"/>
    </row>
    <row r="622" spans="3:5" ht="14.25" customHeight="1" x14ac:dyDescent="0.35">
      <c r="C622" s="51"/>
      <c r="E622" s="52"/>
    </row>
    <row r="623" spans="3:5" ht="14.25" customHeight="1" x14ac:dyDescent="0.35">
      <c r="C623" s="51"/>
      <c r="E623" s="52"/>
    </row>
    <row r="624" spans="3:5" ht="14.25" customHeight="1" x14ac:dyDescent="0.35">
      <c r="C624" s="51"/>
      <c r="E624" s="52"/>
    </row>
    <row r="625" spans="3:5" ht="14.25" customHeight="1" x14ac:dyDescent="0.35">
      <c r="C625" s="51"/>
      <c r="E625" s="52"/>
    </row>
    <row r="626" spans="3:5" ht="14.25" customHeight="1" x14ac:dyDescent="0.35">
      <c r="C626" s="51"/>
      <c r="E626" s="52"/>
    </row>
    <row r="627" spans="3:5" ht="14.25" customHeight="1" x14ac:dyDescent="0.35">
      <c r="C627" s="51"/>
      <c r="E627" s="52"/>
    </row>
    <row r="628" spans="3:5" ht="14.25" customHeight="1" x14ac:dyDescent="0.35">
      <c r="C628" s="51"/>
      <c r="E628" s="52"/>
    </row>
    <row r="629" spans="3:5" ht="14.25" customHeight="1" x14ac:dyDescent="0.35">
      <c r="C629" s="51"/>
      <c r="E629" s="52"/>
    </row>
    <row r="630" spans="3:5" ht="14.25" customHeight="1" x14ac:dyDescent="0.35">
      <c r="C630" s="51"/>
      <c r="E630" s="52"/>
    </row>
    <row r="631" spans="3:5" ht="14.25" customHeight="1" x14ac:dyDescent="0.35">
      <c r="C631" s="51"/>
      <c r="E631" s="52"/>
    </row>
    <row r="632" spans="3:5" ht="14.25" customHeight="1" x14ac:dyDescent="0.35">
      <c r="C632" s="51"/>
      <c r="E632" s="52"/>
    </row>
    <row r="633" spans="3:5" ht="14.25" customHeight="1" x14ac:dyDescent="0.35">
      <c r="C633" s="51"/>
      <c r="E633" s="52"/>
    </row>
    <row r="634" spans="3:5" ht="14.25" customHeight="1" x14ac:dyDescent="0.35">
      <c r="C634" s="51"/>
      <c r="E634" s="52"/>
    </row>
    <row r="635" spans="3:5" ht="14.25" customHeight="1" x14ac:dyDescent="0.35">
      <c r="C635" s="51"/>
      <c r="E635" s="52"/>
    </row>
    <row r="636" spans="3:5" ht="14.25" customHeight="1" x14ac:dyDescent="0.35">
      <c r="C636" s="51"/>
      <c r="E636" s="52"/>
    </row>
    <row r="637" spans="3:5" ht="14.25" customHeight="1" x14ac:dyDescent="0.35">
      <c r="C637" s="51"/>
      <c r="E637" s="52"/>
    </row>
    <row r="638" spans="3:5" ht="14.25" customHeight="1" x14ac:dyDescent="0.35">
      <c r="C638" s="51"/>
      <c r="E638" s="52"/>
    </row>
    <row r="639" spans="3:5" ht="14.25" customHeight="1" x14ac:dyDescent="0.35">
      <c r="C639" s="51"/>
      <c r="E639" s="52"/>
    </row>
    <row r="640" spans="3:5" ht="14.25" customHeight="1" x14ac:dyDescent="0.35">
      <c r="C640" s="51"/>
      <c r="E640" s="52"/>
    </row>
    <row r="641" spans="3:5" ht="14.25" customHeight="1" x14ac:dyDescent="0.35">
      <c r="C641" s="51"/>
      <c r="E641" s="52"/>
    </row>
    <row r="642" spans="3:5" ht="14.25" customHeight="1" x14ac:dyDescent="0.35">
      <c r="C642" s="51"/>
      <c r="E642" s="52"/>
    </row>
    <row r="643" spans="3:5" ht="14.25" customHeight="1" x14ac:dyDescent="0.35">
      <c r="C643" s="51"/>
      <c r="E643" s="52"/>
    </row>
    <row r="644" spans="3:5" ht="14.25" customHeight="1" x14ac:dyDescent="0.35">
      <c r="C644" s="51"/>
      <c r="E644" s="52"/>
    </row>
    <row r="645" spans="3:5" ht="14.25" customHeight="1" x14ac:dyDescent="0.35">
      <c r="C645" s="51"/>
      <c r="E645" s="52"/>
    </row>
    <row r="646" spans="3:5" ht="14.25" customHeight="1" x14ac:dyDescent="0.35">
      <c r="C646" s="51"/>
      <c r="E646" s="52"/>
    </row>
    <row r="647" spans="3:5" ht="14.25" customHeight="1" x14ac:dyDescent="0.35">
      <c r="C647" s="51"/>
      <c r="E647" s="52"/>
    </row>
    <row r="648" spans="3:5" ht="14.25" customHeight="1" x14ac:dyDescent="0.35">
      <c r="C648" s="51"/>
      <c r="E648" s="52"/>
    </row>
    <row r="649" spans="3:5" ht="14.25" customHeight="1" x14ac:dyDescent="0.35">
      <c r="C649" s="51"/>
      <c r="E649" s="52"/>
    </row>
    <row r="650" spans="3:5" ht="14.25" customHeight="1" x14ac:dyDescent="0.35">
      <c r="C650" s="51"/>
      <c r="E650" s="52"/>
    </row>
    <row r="651" spans="3:5" ht="14.25" customHeight="1" x14ac:dyDescent="0.35">
      <c r="C651" s="51"/>
      <c r="E651" s="52"/>
    </row>
    <row r="652" spans="3:5" ht="14.25" customHeight="1" x14ac:dyDescent="0.35">
      <c r="C652" s="51"/>
      <c r="E652" s="52"/>
    </row>
    <row r="653" spans="3:5" ht="14.25" customHeight="1" x14ac:dyDescent="0.35">
      <c r="C653" s="51"/>
      <c r="E653" s="52"/>
    </row>
    <row r="654" spans="3:5" ht="14.25" customHeight="1" x14ac:dyDescent="0.35">
      <c r="C654" s="51"/>
      <c r="E654" s="52"/>
    </row>
    <row r="655" spans="3:5" ht="14.25" customHeight="1" x14ac:dyDescent="0.35">
      <c r="C655" s="51"/>
      <c r="E655" s="52"/>
    </row>
    <row r="656" spans="3:5" ht="14.25" customHeight="1" x14ac:dyDescent="0.35">
      <c r="C656" s="51"/>
      <c r="E656" s="52"/>
    </row>
    <row r="657" spans="3:5" ht="14.25" customHeight="1" x14ac:dyDescent="0.35">
      <c r="C657" s="51"/>
      <c r="E657" s="52"/>
    </row>
    <row r="658" spans="3:5" ht="14.25" customHeight="1" x14ac:dyDescent="0.35">
      <c r="C658" s="51"/>
      <c r="E658" s="52"/>
    </row>
    <row r="659" spans="3:5" ht="14.25" customHeight="1" x14ac:dyDescent="0.35">
      <c r="C659" s="51"/>
      <c r="E659" s="52"/>
    </row>
    <row r="660" spans="3:5" ht="14.25" customHeight="1" x14ac:dyDescent="0.35">
      <c r="C660" s="51"/>
      <c r="E660" s="52"/>
    </row>
    <row r="661" spans="3:5" ht="14.25" customHeight="1" x14ac:dyDescent="0.35">
      <c r="C661" s="51"/>
      <c r="E661" s="52"/>
    </row>
    <row r="662" spans="3:5" ht="14.25" customHeight="1" x14ac:dyDescent="0.35">
      <c r="C662" s="51"/>
      <c r="E662" s="52"/>
    </row>
    <row r="663" spans="3:5" ht="14.25" customHeight="1" x14ac:dyDescent="0.35">
      <c r="C663" s="51"/>
      <c r="E663" s="52"/>
    </row>
    <row r="664" spans="3:5" ht="14.25" customHeight="1" x14ac:dyDescent="0.35">
      <c r="C664" s="51"/>
      <c r="E664" s="52"/>
    </row>
    <row r="665" spans="3:5" ht="14.25" customHeight="1" x14ac:dyDescent="0.35">
      <c r="C665" s="51"/>
      <c r="E665" s="52"/>
    </row>
    <row r="666" spans="3:5" ht="14.25" customHeight="1" x14ac:dyDescent="0.35">
      <c r="C666" s="51"/>
      <c r="E666" s="52"/>
    </row>
    <row r="667" spans="3:5" ht="14.25" customHeight="1" x14ac:dyDescent="0.35">
      <c r="C667" s="51"/>
      <c r="E667" s="52"/>
    </row>
    <row r="668" spans="3:5" ht="14.25" customHeight="1" x14ac:dyDescent="0.35">
      <c r="C668" s="51"/>
      <c r="E668" s="52"/>
    </row>
    <row r="669" spans="3:5" ht="14.25" customHeight="1" x14ac:dyDescent="0.35">
      <c r="C669" s="51"/>
      <c r="E669" s="52"/>
    </row>
    <row r="670" spans="3:5" ht="14.25" customHeight="1" x14ac:dyDescent="0.35">
      <c r="C670" s="51"/>
      <c r="E670" s="52"/>
    </row>
    <row r="671" spans="3:5" ht="14.25" customHeight="1" x14ac:dyDescent="0.35">
      <c r="C671" s="51"/>
      <c r="E671" s="52"/>
    </row>
    <row r="672" spans="3:5" ht="14.25" customHeight="1" x14ac:dyDescent="0.35">
      <c r="C672" s="51"/>
      <c r="E672" s="52"/>
    </row>
    <row r="673" spans="3:5" ht="14.25" customHeight="1" x14ac:dyDescent="0.35">
      <c r="C673" s="51"/>
      <c r="E673" s="52"/>
    </row>
    <row r="674" spans="3:5" ht="14.25" customHeight="1" x14ac:dyDescent="0.35">
      <c r="C674" s="51"/>
      <c r="E674" s="52"/>
    </row>
    <row r="675" spans="3:5" ht="14.25" customHeight="1" x14ac:dyDescent="0.35">
      <c r="C675" s="51"/>
      <c r="E675" s="52"/>
    </row>
    <row r="676" spans="3:5" ht="14.25" customHeight="1" x14ac:dyDescent="0.35">
      <c r="C676" s="51"/>
      <c r="E676" s="52"/>
    </row>
    <row r="677" spans="3:5" ht="14.25" customHeight="1" x14ac:dyDescent="0.35">
      <c r="C677" s="51"/>
      <c r="E677" s="52"/>
    </row>
    <row r="678" spans="3:5" ht="14.25" customHeight="1" x14ac:dyDescent="0.35">
      <c r="C678" s="51"/>
      <c r="E678" s="52"/>
    </row>
    <row r="679" spans="3:5" ht="14.25" customHeight="1" x14ac:dyDescent="0.35">
      <c r="C679" s="51"/>
      <c r="E679" s="52"/>
    </row>
    <row r="680" spans="3:5" ht="14.25" customHeight="1" x14ac:dyDescent="0.35">
      <c r="C680" s="51"/>
      <c r="E680" s="52"/>
    </row>
    <row r="681" spans="3:5" ht="14.25" customHeight="1" x14ac:dyDescent="0.35">
      <c r="C681" s="51"/>
      <c r="E681" s="52"/>
    </row>
    <row r="682" spans="3:5" ht="14.25" customHeight="1" x14ac:dyDescent="0.35">
      <c r="C682" s="51"/>
      <c r="E682" s="52"/>
    </row>
    <row r="683" spans="3:5" ht="14.25" customHeight="1" x14ac:dyDescent="0.35">
      <c r="C683" s="51"/>
      <c r="E683" s="52"/>
    </row>
    <row r="684" spans="3:5" ht="14.25" customHeight="1" x14ac:dyDescent="0.35">
      <c r="C684" s="51"/>
      <c r="E684" s="52"/>
    </row>
    <row r="685" spans="3:5" ht="14.25" customHeight="1" x14ac:dyDescent="0.35">
      <c r="C685" s="51"/>
      <c r="E685" s="52"/>
    </row>
    <row r="686" spans="3:5" ht="14.25" customHeight="1" x14ac:dyDescent="0.35">
      <c r="C686" s="51"/>
      <c r="E686" s="52"/>
    </row>
    <row r="687" spans="3:5" ht="14.25" customHeight="1" x14ac:dyDescent="0.35">
      <c r="C687" s="51"/>
      <c r="E687" s="52"/>
    </row>
    <row r="688" spans="3:5" ht="14.25" customHeight="1" x14ac:dyDescent="0.35">
      <c r="C688" s="51"/>
      <c r="E688" s="52"/>
    </row>
    <row r="689" spans="3:5" ht="14.25" customHeight="1" x14ac:dyDescent="0.35">
      <c r="C689" s="51"/>
      <c r="E689" s="52"/>
    </row>
    <row r="690" spans="3:5" ht="14.25" customHeight="1" x14ac:dyDescent="0.35">
      <c r="C690" s="51"/>
      <c r="E690" s="52"/>
    </row>
    <row r="691" spans="3:5" ht="14.25" customHeight="1" x14ac:dyDescent="0.35">
      <c r="C691" s="51"/>
      <c r="E691" s="52"/>
    </row>
    <row r="692" spans="3:5" ht="14.25" customHeight="1" x14ac:dyDescent="0.35">
      <c r="C692" s="51"/>
      <c r="E692" s="52"/>
    </row>
    <row r="693" spans="3:5" ht="14.25" customHeight="1" x14ac:dyDescent="0.35">
      <c r="C693" s="51"/>
      <c r="E693" s="52"/>
    </row>
    <row r="694" spans="3:5" ht="14.25" customHeight="1" x14ac:dyDescent="0.35">
      <c r="C694" s="51"/>
      <c r="E694" s="52"/>
    </row>
    <row r="695" spans="3:5" ht="14.25" customHeight="1" x14ac:dyDescent="0.35">
      <c r="C695" s="51"/>
      <c r="E695" s="52"/>
    </row>
    <row r="696" spans="3:5" ht="14.25" customHeight="1" x14ac:dyDescent="0.35">
      <c r="C696" s="51"/>
      <c r="E696" s="52"/>
    </row>
    <row r="697" spans="3:5" ht="14.25" customHeight="1" x14ac:dyDescent="0.35">
      <c r="C697" s="51"/>
      <c r="E697" s="52"/>
    </row>
    <row r="698" spans="3:5" ht="14.25" customHeight="1" x14ac:dyDescent="0.35">
      <c r="C698" s="51"/>
      <c r="E698" s="52"/>
    </row>
    <row r="699" spans="3:5" ht="14.25" customHeight="1" x14ac:dyDescent="0.35">
      <c r="C699" s="51"/>
      <c r="E699" s="52"/>
    </row>
    <row r="700" spans="3:5" ht="14.25" customHeight="1" x14ac:dyDescent="0.35">
      <c r="C700" s="51"/>
      <c r="E700" s="52"/>
    </row>
    <row r="701" spans="3:5" ht="14.25" customHeight="1" x14ac:dyDescent="0.35">
      <c r="C701" s="51"/>
      <c r="E701" s="52"/>
    </row>
    <row r="702" spans="3:5" ht="14.25" customHeight="1" x14ac:dyDescent="0.35">
      <c r="C702" s="51"/>
      <c r="E702" s="52"/>
    </row>
    <row r="703" spans="3:5" ht="14.25" customHeight="1" x14ac:dyDescent="0.35">
      <c r="C703" s="51"/>
      <c r="E703" s="52"/>
    </row>
    <row r="704" spans="3:5" ht="14.25" customHeight="1" x14ac:dyDescent="0.35">
      <c r="C704" s="51"/>
      <c r="E704" s="52"/>
    </row>
    <row r="705" spans="3:5" ht="14.25" customHeight="1" x14ac:dyDescent="0.35">
      <c r="C705" s="51"/>
      <c r="E705" s="52"/>
    </row>
    <row r="706" spans="3:5" ht="14.25" customHeight="1" x14ac:dyDescent="0.35">
      <c r="C706" s="51"/>
      <c r="E706" s="52"/>
    </row>
    <row r="707" spans="3:5" ht="14.25" customHeight="1" x14ac:dyDescent="0.35">
      <c r="C707" s="51"/>
      <c r="E707" s="52"/>
    </row>
    <row r="708" spans="3:5" ht="14.25" customHeight="1" x14ac:dyDescent="0.35">
      <c r="C708" s="51"/>
      <c r="E708" s="52"/>
    </row>
    <row r="709" spans="3:5" ht="14.25" customHeight="1" x14ac:dyDescent="0.35">
      <c r="C709" s="51"/>
      <c r="E709" s="52"/>
    </row>
    <row r="710" spans="3:5" ht="14.25" customHeight="1" x14ac:dyDescent="0.35">
      <c r="C710" s="51"/>
      <c r="E710" s="52"/>
    </row>
    <row r="711" spans="3:5" ht="14.25" customHeight="1" x14ac:dyDescent="0.35">
      <c r="C711" s="51"/>
      <c r="E711" s="52"/>
    </row>
    <row r="712" spans="3:5" ht="14.25" customHeight="1" x14ac:dyDescent="0.35">
      <c r="C712" s="51"/>
      <c r="E712" s="52"/>
    </row>
    <row r="713" spans="3:5" ht="14.25" customHeight="1" x14ac:dyDescent="0.35">
      <c r="C713" s="51"/>
      <c r="E713" s="52"/>
    </row>
    <row r="714" spans="3:5" ht="14.25" customHeight="1" x14ac:dyDescent="0.35">
      <c r="C714" s="51"/>
      <c r="E714" s="52"/>
    </row>
    <row r="715" spans="3:5" ht="14.25" customHeight="1" x14ac:dyDescent="0.35">
      <c r="C715" s="51"/>
      <c r="E715" s="52"/>
    </row>
    <row r="716" spans="3:5" ht="14.25" customHeight="1" x14ac:dyDescent="0.35">
      <c r="C716" s="51"/>
      <c r="E716" s="52"/>
    </row>
    <row r="717" spans="3:5" ht="14.25" customHeight="1" x14ac:dyDescent="0.35">
      <c r="C717" s="51"/>
      <c r="E717" s="52"/>
    </row>
    <row r="718" spans="3:5" ht="14.25" customHeight="1" x14ac:dyDescent="0.35">
      <c r="C718" s="51"/>
      <c r="E718" s="52"/>
    </row>
    <row r="719" spans="3:5" ht="14.25" customHeight="1" x14ac:dyDescent="0.35">
      <c r="C719" s="51"/>
      <c r="E719" s="52"/>
    </row>
    <row r="720" spans="3:5" ht="14.25" customHeight="1" x14ac:dyDescent="0.35">
      <c r="C720" s="51"/>
      <c r="E720" s="52"/>
    </row>
    <row r="721" spans="3:5" ht="14.25" customHeight="1" x14ac:dyDescent="0.35">
      <c r="C721" s="51"/>
      <c r="E721" s="52"/>
    </row>
    <row r="722" spans="3:5" ht="14.25" customHeight="1" x14ac:dyDescent="0.35">
      <c r="C722" s="51"/>
      <c r="E722" s="52"/>
    </row>
    <row r="723" spans="3:5" ht="14.25" customHeight="1" x14ac:dyDescent="0.35">
      <c r="C723" s="51"/>
      <c r="E723" s="52"/>
    </row>
    <row r="724" spans="3:5" ht="14.25" customHeight="1" x14ac:dyDescent="0.35">
      <c r="C724" s="51"/>
      <c r="E724" s="52"/>
    </row>
    <row r="725" spans="3:5" ht="14.25" customHeight="1" x14ac:dyDescent="0.35">
      <c r="C725" s="51"/>
      <c r="E725" s="52"/>
    </row>
    <row r="726" spans="3:5" ht="14.25" customHeight="1" x14ac:dyDescent="0.35">
      <c r="C726" s="51"/>
      <c r="E726" s="52"/>
    </row>
    <row r="727" spans="3:5" ht="14.25" customHeight="1" x14ac:dyDescent="0.35">
      <c r="C727" s="51"/>
      <c r="E727" s="52"/>
    </row>
    <row r="728" spans="3:5" ht="14.25" customHeight="1" x14ac:dyDescent="0.35">
      <c r="C728" s="51"/>
      <c r="E728" s="52"/>
    </row>
    <row r="729" spans="3:5" ht="14.25" customHeight="1" x14ac:dyDescent="0.35">
      <c r="C729" s="51"/>
      <c r="E729" s="52"/>
    </row>
    <row r="730" spans="3:5" ht="14.25" customHeight="1" x14ac:dyDescent="0.35">
      <c r="C730" s="51"/>
      <c r="E730" s="52"/>
    </row>
    <row r="731" spans="3:5" ht="14.25" customHeight="1" x14ac:dyDescent="0.35">
      <c r="C731" s="51"/>
      <c r="E731" s="52"/>
    </row>
    <row r="732" spans="3:5" ht="14.25" customHeight="1" x14ac:dyDescent="0.35">
      <c r="C732" s="51"/>
      <c r="E732" s="52"/>
    </row>
    <row r="733" spans="3:5" ht="14.25" customHeight="1" x14ac:dyDescent="0.35">
      <c r="C733" s="51"/>
      <c r="E733" s="52"/>
    </row>
    <row r="734" spans="3:5" ht="14.25" customHeight="1" x14ac:dyDescent="0.35">
      <c r="C734" s="51"/>
      <c r="E734" s="52"/>
    </row>
    <row r="735" spans="3:5" ht="14.25" customHeight="1" x14ac:dyDescent="0.35">
      <c r="C735" s="51"/>
      <c r="E735" s="52"/>
    </row>
    <row r="736" spans="3:5" ht="14.25" customHeight="1" x14ac:dyDescent="0.35">
      <c r="C736" s="51"/>
      <c r="E736" s="52"/>
    </row>
    <row r="737" spans="3:5" ht="14.25" customHeight="1" x14ac:dyDescent="0.35">
      <c r="C737" s="51"/>
      <c r="E737" s="52"/>
    </row>
    <row r="738" spans="3:5" ht="14.25" customHeight="1" x14ac:dyDescent="0.35">
      <c r="C738" s="51"/>
      <c r="E738" s="52"/>
    </row>
    <row r="739" spans="3:5" ht="14.25" customHeight="1" x14ac:dyDescent="0.35">
      <c r="C739" s="51"/>
      <c r="E739" s="52"/>
    </row>
    <row r="740" spans="3:5" ht="14.25" customHeight="1" x14ac:dyDescent="0.35">
      <c r="C740" s="51"/>
      <c r="E740" s="52"/>
    </row>
    <row r="741" spans="3:5" ht="14.25" customHeight="1" x14ac:dyDescent="0.35">
      <c r="C741" s="51"/>
      <c r="E741" s="52"/>
    </row>
    <row r="742" spans="3:5" ht="14.25" customHeight="1" x14ac:dyDescent="0.35">
      <c r="C742" s="51"/>
      <c r="E742" s="52"/>
    </row>
    <row r="743" spans="3:5" ht="14.25" customHeight="1" x14ac:dyDescent="0.35">
      <c r="C743" s="51"/>
      <c r="E743" s="52"/>
    </row>
    <row r="744" spans="3:5" ht="14.25" customHeight="1" x14ac:dyDescent="0.35">
      <c r="C744" s="51"/>
      <c r="E744" s="52"/>
    </row>
    <row r="745" spans="3:5" ht="14.25" customHeight="1" x14ac:dyDescent="0.35">
      <c r="C745" s="51"/>
      <c r="E745" s="52"/>
    </row>
    <row r="746" spans="3:5" ht="14.25" customHeight="1" x14ac:dyDescent="0.35">
      <c r="C746" s="51"/>
      <c r="E746" s="52"/>
    </row>
    <row r="747" spans="3:5" ht="14.25" customHeight="1" x14ac:dyDescent="0.35">
      <c r="C747" s="51"/>
      <c r="E747" s="52"/>
    </row>
    <row r="748" spans="3:5" ht="14.25" customHeight="1" x14ac:dyDescent="0.35">
      <c r="C748" s="51"/>
      <c r="E748" s="52"/>
    </row>
    <row r="749" spans="3:5" ht="14.25" customHeight="1" x14ac:dyDescent="0.35">
      <c r="C749" s="51"/>
      <c r="E749" s="52"/>
    </row>
    <row r="750" spans="3:5" ht="14.25" customHeight="1" x14ac:dyDescent="0.35">
      <c r="C750" s="51"/>
      <c r="E750" s="52"/>
    </row>
    <row r="751" spans="3:5" ht="14.25" customHeight="1" x14ac:dyDescent="0.35">
      <c r="C751" s="51"/>
      <c r="E751" s="52"/>
    </row>
    <row r="752" spans="3:5" ht="14.25" customHeight="1" x14ac:dyDescent="0.35">
      <c r="C752" s="51"/>
      <c r="E752" s="52"/>
    </row>
    <row r="753" spans="3:5" ht="14.25" customHeight="1" x14ac:dyDescent="0.35">
      <c r="C753" s="51"/>
      <c r="E753" s="52"/>
    </row>
    <row r="754" spans="3:5" ht="14.25" customHeight="1" x14ac:dyDescent="0.35">
      <c r="C754" s="51"/>
      <c r="E754" s="52"/>
    </row>
    <row r="755" spans="3:5" ht="14.25" customHeight="1" x14ac:dyDescent="0.35">
      <c r="C755" s="51"/>
      <c r="E755" s="52"/>
    </row>
    <row r="756" spans="3:5" ht="14.25" customHeight="1" x14ac:dyDescent="0.35">
      <c r="C756" s="51"/>
      <c r="E756" s="52"/>
    </row>
    <row r="757" spans="3:5" ht="14.25" customHeight="1" x14ac:dyDescent="0.35">
      <c r="C757" s="51"/>
      <c r="E757" s="52"/>
    </row>
    <row r="758" spans="3:5" ht="14.25" customHeight="1" x14ac:dyDescent="0.35">
      <c r="C758" s="51"/>
      <c r="E758" s="52"/>
    </row>
    <row r="759" spans="3:5" ht="14.25" customHeight="1" x14ac:dyDescent="0.35">
      <c r="C759" s="51"/>
      <c r="E759" s="52"/>
    </row>
    <row r="760" spans="3:5" ht="14.25" customHeight="1" x14ac:dyDescent="0.35">
      <c r="C760" s="51"/>
      <c r="E760" s="52"/>
    </row>
    <row r="761" spans="3:5" ht="14.25" customHeight="1" x14ac:dyDescent="0.35">
      <c r="C761" s="51"/>
      <c r="E761" s="52"/>
    </row>
    <row r="762" spans="3:5" ht="14.25" customHeight="1" x14ac:dyDescent="0.35">
      <c r="C762" s="51"/>
      <c r="E762" s="52"/>
    </row>
    <row r="763" spans="3:5" ht="14.25" customHeight="1" x14ac:dyDescent="0.35">
      <c r="C763" s="51"/>
      <c r="E763" s="52"/>
    </row>
    <row r="764" spans="3:5" ht="14.25" customHeight="1" x14ac:dyDescent="0.35">
      <c r="C764" s="51"/>
      <c r="E764" s="52"/>
    </row>
    <row r="765" spans="3:5" ht="14.25" customHeight="1" x14ac:dyDescent="0.35">
      <c r="C765" s="51"/>
      <c r="E765" s="52"/>
    </row>
    <row r="766" spans="3:5" ht="14.25" customHeight="1" x14ac:dyDescent="0.35">
      <c r="C766" s="51"/>
      <c r="E766" s="52"/>
    </row>
    <row r="767" spans="3:5" ht="14.25" customHeight="1" x14ac:dyDescent="0.35">
      <c r="C767" s="51"/>
      <c r="E767" s="52"/>
    </row>
    <row r="768" spans="3:5" ht="14.25" customHeight="1" x14ac:dyDescent="0.35">
      <c r="C768" s="51"/>
      <c r="E768" s="52"/>
    </row>
    <row r="769" spans="3:5" ht="14.25" customHeight="1" x14ac:dyDescent="0.35">
      <c r="C769" s="51"/>
      <c r="E769" s="52"/>
    </row>
    <row r="770" spans="3:5" ht="14.25" customHeight="1" x14ac:dyDescent="0.35">
      <c r="C770" s="51"/>
      <c r="E770" s="52"/>
    </row>
    <row r="771" spans="3:5" ht="14.25" customHeight="1" x14ac:dyDescent="0.35">
      <c r="C771" s="51"/>
      <c r="E771" s="52"/>
    </row>
    <row r="772" spans="3:5" ht="14.25" customHeight="1" x14ac:dyDescent="0.35">
      <c r="C772" s="51"/>
      <c r="E772" s="52"/>
    </row>
    <row r="773" spans="3:5" ht="14.25" customHeight="1" x14ac:dyDescent="0.35">
      <c r="C773" s="51"/>
      <c r="E773" s="52"/>
    </row>
    <row r="774" spans="3:5" ht="14.25" customHeight="1" x14ac:dyDescent="0.35">
      <c r="C774" s="51"/>
      <c r="E774" s="52"/>
    </row>
    <row r="775" spans="3:5" ht="14.25" customHeight="1" x14ac:dyDescent="0.35">
      <c r="C775" s="51"/>
      <c r="E775" s="52"/>
    </row>
    <row r="776" spans="3:5" ht="14.25" customHeight="1" x14ac:dyDescent="0.35">
      <c r="C776" s="51"/>
      <c r="E776" s="52"/>
    </row>
    <row r="777" spans="3:5" ht="14.25" customHeight="1" x14ac:dyDescent="0.35">
      <c r="C777" s="51"/>
      <c r="E777" s="52"/>
    </row>
    <row r="778" spans="3:5" ht="14.25" customHeight="1" x14ac:dyDescent="0.35">
      <c r="C778" s="51"/>
      <c r="E778" s="52"/>
    </row>
    <row r="779" spans="3:5" ht="14.25" customHeight="1" x14ac:dyDescent="0.35">
      <c r="C779" s="51"/>
      <c r="E779" s="52"/>
    </row>
    <row r="780" spans="3:5" ht="14.25" customHeight="1" x14ac:dyDescent="0.35">
      <c r="C780" s="51"/>
      <c r="E780" s="52"/>
    </row>
    <row r="781" spans="3:5" ht="14.25" customHeight="1" x14ac:dyDescent="0.35">
      <c r="C781" s="51"/>
      <c r="E781" s="52"/>
    </row>
    <row r="782" spans="3:5" ht="14.25" customHeight="1" x14ac:dyDescent="0.35">
      <c r="C782" s="51"/>
      <c r="E782" s="52"/>
    </row>
    <row r="783" spans="3:5" ht="14.25" customHeight="1" x14ac:dyDescent="0.35">
      <c r="C783" s="51"/>
      <c r="E783" s="52"/>
    </row>
    <row r="784" spans="3:5" ht="14.25" customHeight="1" x14ac:dyDescent="0.35">
      <c r="C784" s="51"/>
      <c r="E784" s="52"/>
    </row>
    <row r="785" spans="3:5" ht="14.25" customHeight="1" x14ac:dyDescent="0.35">
      <c r="C785" s="51"/>
      <c r="E785" s="52"/>
    </row>
    <row r="786" spans="3:5" ht="14.25" customHeight="1" x14ac:dyDescent="0.35">
      <c r="C786" s="51"/>
      <c r="E786" s="52"/>
    </row>
    <row r="787" spans="3:5" ht="14.25" customHeight="1" x14ac:dyDescent="0.35">
      <c r="C787" s="51"/>
      <c r="E787" s="52"/>
    </row>
    <row r="788" spans="3:5" ht="14.25" customHeight="1" x14ac:dyDescent="0.35">
      <c r="C788" s="51"/>
      <c r="E788" s="52"/>
    </row>
    <row r="789" spans="3:5" ht="14.25" customHeight="1" x14ac:dyDescent="0.35">
      <c r="C789" s="51"/>
      <c r="E789" s="52"/>
    </row>
    <row r="790" spans="3:5" ht="14.25" customHeight="1" x14ac:dyDescent="0.35">
      <c r="C790" s="51"/>
      <c r="E790" s="52"/>
    </row>
    <row r="791" spans="3:5" ht="14.25" customHeight="1" x14ac:dyDescent="0.35">
      <c r="C791" s="51"/>
      <c r="E791" s="52"/>
    </row>
    <row r="792" spans="3:5" ht="14.25" customHeight="1" x14ac:dyDescent="0.35">
      <c r="C792" s="51"/>
      <c r="E792" s="52"/>
    </row>
    <row r="793" spans="3:5" ht="14.25" customHeight="1" x14ac:dyDescent="0.35">
      <c r="C793" s="51"/>
      <c r="E793" s="52"/>
    </row>
    <row r="794" spans="3:5" ht="14.25" customHeight="1" x14ac:dyDescent="0.35">
      <c r="C794" s="51"/>
      <c r="E794" s="52"/>
    </row>
    <row r="795" spans="3:5" ht="14.25" customHeight="1" x14ac:dyDescent="0.35">
      <c r="C795" s="51"/>
      <c r="E795" s="52"/>
    </row>
    <row r="796" spans="3:5" ht="14.25" customHeight="1" x14ac:dyDescent="0.35">
      <c r="C796" s="51"/>
      <c r="E796" s="52"/>
    </row>
    <row r="797" spans="3:5" ht="14.25" customHeight="1" x14ac:dyDescent="0.35">
      <c r="C797" s="51"/>
      <c r="E797" s="52"/>
    </row>
    <row r="798" spans="3:5" ht="14.25" customHeight="1" x14ac:dyDescent="0.35">
      <c r="C798" s="51"/>
      <c r="E798" s="52"/>
    </row>
    <row r="799" spans="3:5" ht="14.25" customHeight="1" x14ac:dyDescent="0.35">
      <c r="C799" s="51"/>
      <c r="E799" s="52"/>
    </row>
    <row r="800" spans="3:5" ht="14.25" customHeight="1" x14ac:dyDescent="0.35">
      <c r="C800" s="51"/>
      <c r="E800" s="52"/>
    </row>
    <row r="801" spans="3:5" ht="14.25" customHeight="1" x14ac:dyDescent="0.35">
      <c r="C801" s="51"/>
      <c r="E801" s="52"/>
    </row>
    <row r="802" spans="3:5" ht="14.25" customHeight="1" x14ac:dyDescent="0.35">
      <c r="C802" s="51"/>
      <c r="E802" s="52"/>
    </row>
    <row r="803" spans="3:5" ht="14.25" customHeight="1" x14ac:dyDescent="0.35">
      <c r="C803" s="51"/>
      <c r="E803" s="52"/>
    </row>
    <row r="804" spans="3:5" ht="14.25" customHeight="1" x14ac:dyDescent="0.35">
      <c r="C804" s="51"/>
      <c r="E804" s="52"/>
    </row>
    <row r="805" spans="3:5" ht="14.25" customHeight="1" x14ac:dyDescent="0.35">
      <c r="C805" s="51"/>
      <c r="E805" s="52"/>
    </row>
    <row r="806" spans="3:5" ht="14.25" customHeight="1" x14ac:dyDescent="0.35">
      <c r="C806" s="51"/>
      <c r="E806" s="52"/>
    </row>
    <row r="807" spans="3:5" ht="14.25" customHeight="1" x14ac:dyDescent="0.35">
      <c r="C807" s="51"/>
      <c r="E807" s="52"/>
    </row>
    <row r="808" spans="3:5" ht="14.25" customHeight="1" x14ac:dyDescent="0.35">
      <c r="C808" s="51"/>
      <c r="E808" s="52"/>
    </row>
    <row r="809" spans="3:5" ht="14.25" customHeight="1" x14ac:dyDescent="0.35">
      <c r="C809" s="51"/>
      <c r="E809" s="52"/>
    </row>
    <row r="810" spans="3:5" ht="14.25" customHeight="1" x14ac:dyDescent="0.35">
      <c r="C810" s="51"/>
      <c r="E810" s="52"/>
    </row>
    <row r="811" spans="3:5" ht="14.25" customHeight="1" x14ac:dyDescent="0.35">
      <c r="C811" s="51"/>
      <c r="E811" s="52"/>
    </row>
    <row r="812" spans="3:5" ht="14.25" customHeight="1" x14ac:dyDescent="0.35">
      <c r="C812" s="51"/>
      <c r="E812" s="52"/>
    </row>
    <row r="813" spans="3:5" ht="14.25" customHeight="1" x14ac:dyDescent="0.35">
      <c r="C813" s="51"/>
      <c r="E813" s="52"/>
    </row>
    <row r="814" spans="3:5" ht="14.25" customHeight="1" x14ac:dyDescent="0.35">
      <c r="C814" s="51"/>
      <c r="E814" s="52"/>
    </row>
    <row r="815" spans="3:5" ht="14.25" customHeight="1" x14ac:dyDescent="0.35">
      <c r="C815" s="51"/>
      <c r="E815" s="52"/>
    </row>
    <row r="816" spans="3:5" ht="14.25" customHeight="1" x14ac:dyDescent="0.35">
      <c r="C816" s="51"/>
      <c r="E816" s="52"/>
    </row>
    <row r="817" spans="3:5" ht="14.25" customHeight="1" x14ac:dyDescent="0.35">
      <c r="C817" s="51"/>
      <c r="E817" s="52"/>
    </row>
    <row r="818" spans="3:5" ht="14.25" customHeight="1" x14ac:dyDescent="0.35">
      <c r="C818" s="51"/>
      <c r="E818" s="52"/>
    </row>
    <row r="819" spans="3:5" ht="14.25" customHeight="1" x14ac:dyDescent="0.35">
      <c r="C819" s="51"/>
      <c r="E819" s="52"/>
    </row>
    <row r="820" spans="3:5" ht="14.25" customHeight="1" x14ac:dyDescent="0.35">
      <c r="C820" s="51"/>
      <c r="E820" s="52"/>
    </row>
    <row r="821" spans="3:5" ht="14.25" customHeight="1" x14ac:dyDescent="0.35">
      <c r="C821" s="51"/>
      <c r="E821" s="52"/>
    </row>
    <row r="822" spans="3:5" ht="14.25" customHeight="1" x14ac:dyDescent="0.35">
      <c r="C822" s="51"/>
      <c r="E822" s="52"/>
    </row>
    <row r="823" spans="3:5" ht="14.25" customHeight="1" x14ac:dyDescent="0.35">
      <c r="C823" s="51"/>
      <c r="E823" s="52"/>
    </row>
    <row r="824" spans="3:5" ht="14.25" customHeight="1" x14ac:dyDescent="0.35">
      <c r="C824" s="51"/>
      <c r="E824" s="52"/>
    </row>
    <row r="825" spans="3:5" ht="14.25" customHeight="1" x14ac:dyDescent="0.35">
      <c r="C825" s="51"/>
      <c r="E825" s="52"/>
    </row>
    <row r="826" spans="3:5" ht="14.25" customHeight="1" x14ac:dyDescent="0.35">
      <c r="C826" s="51"/>
      <c r="E826" s="52"/>
    </row>
    <row r="827" spans="3:5" ht="14.25" customHeight="1" x14ac:dyDescent="0.35">
      <c r="C827" s="51"/>
      <c r="E827" s="52"/>
    </row>
    <row r="828" spans="3:5" ht="14.25" customHeight="1" x14ac:dyDescent="0.35">
      <c r="C828" s="51"/>
      <c r="E828" s="52"/>
    </row>
    <row r="829" spans="3:5" ht="14.25" customHeight="1" x14ac:dyDescent="0.35">
      <c r="C829" s="51"/>
      <c r="E829" s="52"/>
    </row>
    <row r="830" spans="3:5" ht="14.25" customHeight="1" x14ac:dyDescent="0.35">
      <c r="C830" s="51"/>
      <c r="E830" s="52"/>
    </row>
    <row r="831" spans="3:5" ht="14.25" customHeight="1" x14ac:dyDescent="0.35">
      <c r="C831" s="51"/>
      <c r="E831" s="52"/>
    </row>
    <row r="832" spans="3:5" ht="14.25" customHeight="1" x14ac:dyDescent="0.35">
      <c r="C832" s="51"/>
      <c r="E832" s="52"/>
    </row>
    <row r="833" spans="3:5" ht="14.25" customHeight="1" x14ac:dyDescent="0.35">
      <c r="C833" s="51"/>
      <c r="E833" s="52"/>
    </row>
    <row r="834" spans="3:5" ht="14.25" customHeight="1" x14ac:dyDescent="0.35">
      <c r="C834" s="51"/>
      <c r="E834" s="52"/>
    </row>
    <row r="835" spans="3:5" ht="14.25" customHeight="1" x14ac:dyDescent="0.35">
      <c r="C835" s="51"/>
      <c r="E835" s="52"/>
    </row>
    <row r="836" spans="3:5" ht="14.25" customHeight="1" x14ac:dyDescent="0.35">
      <c r="C836" s="51"/>
      <c r="E836" s="52"/>
    </row>
    <row r="837" spans="3:5" ht="14.25" customHeight="1" x14ac:dyDescent="0.35">
      <c r="C837" s="51"/>
      <c r="E837" s="52"/>
    </row>
    <row r="838" spans="3:5" ht="14.25" customHeight="1" x14ac:dyDescent="0.35">
      <c r="C838" s="51"/>
      <c r="E838" s="52"/>
    </row>
    <row r="839" spans="3:5" ht="14.25" customHeight="1" x14ac:dyDescent="0.35">
      <c r="C839" s="51"/>
      <c r="E839" s="52"/>
    </row>
    <row r="840" spans="3:5" ht="14.25" customHeight="1" x14ac:dyDescent="0.35">
      <c r="C840" s="51"/>
      <c r="E840" s="52"/>
    </row>
    <row r="841" spans="3:5" ht="14.25" customHeight="1" x14ac:dyDescent="0.35">
      <c r="C841" s="51"/>
      <c r="E841" s="52"/>
    </row>
    <row r="842" spans="3:5" ht="14.25" customHeight="1" x14ac:dyDescent="0.35">
      <c r="C842" s="51"/>
      <c r="E842" s="52"/>
    </row>
    <row r="843" spans="3:5" ht="14.25" customHeight="1" x14ac:dyDescent="0.35">
      <c r="C843" s="51"/>
      <c r="E843" s="52"/>
    </row>
    <row r="844" spans="3:5" ht="14.25" customHeight="1" x14ac:dyDescent="0.35">
      <c r="C844" s="51"/>
      <c r="E844" s="52"/>
    </row>
    <row r="845" spans="3:5" ht="14.25" customHeight="1" x14ac:dyDescent="0.35">
      <c r="C845" s="51"/>
      <c r="E845" s="52"/>
    </row>
    <row r="846" spans="3:5" ht="14.25" customHeight="1" x14ac:dyDescent="0.35">
      <c r="C846" s="51"/>
      <c r="E846" s="52"/>
    </row>
    <row r="847" spans="3:5" ht="14.25" customHeight="1" x14ac:dyDescent="0.35">
      <c r="C847" s="51"/>
      <c r="E847" s="52"/>
    </row>
    <row r="848" spans="3:5" ht="14.25" customHeight="1" x14ac:dyDescent="0.35">
      <c r="C848" s="51"/>
      <c r="E848" s="52"/>
    </row>
    <row r="849" spans="3:5" ht="14.25" customHeight="1" x14ac:dyDescent="0.35">
      <c r="C849" s="51"/>
      <c r="E849" s="52"/>
    </row>
    <row r="850" spans="3:5" ht="14.25" customHeight="1" x14ac:dyDescent="0.35">
      <c r="C850" s="51"/>
      <c r="E850" s="52"/>
    </row>
    <row r="851" spans="3:5" ht="14.25" customHeight="1" x14ac:dyDescent="0.35">
      <c r="C851" s="51"/>
      <c r="E851" s="52"/>
    </row>
    <row r="852" spans="3:5" ht="14.25" customHeight="1" x14ac:dyDescent="0.35">
      <c r="C852" s="51"/>
      <c r="E852" s="52"/>
    </row>
    <row r="853" spans="3:5" ht="14.25" customHeight="1" x14ac:dyDescent="0.35">
      <c r="C853" s="51"/>
      <c r="E853" s="52"/>
    </row>
    <row r="854" spans="3:5" ht="14.25" customHeight="1" x14ac:dyDescent="0.35">
      <c r="C854" s="51"/>
      <c r="E854" s="52"/>
    </row>
    <row r="855" spans="3:5" ht="14.25" customHeight="1" x14ac:dyDescent="0.35">
      <c r="C855" s="51"/>
      <c r="E855" s="52"/>
    </row>
    <row r="856" spans="3:5" ht="14.25" customHeight="1" x14ac:dyDescent="0.35">
      <c r="C856" s="51"/>
      <c r="E856" s="52"/>
    </row>
    <row r="857" spans="3:5" ht="14.25" customHeight="1" x14ac:dyDescent="0.35">
      <c r="C857" s="51"/>
      <c r="E857" s="52"/>
    </row>
    <row r="858" spans="3:5" ht="14.25" customHeight="1" x14ac:dyDescent="0.35">
      <c r="C858" s="51"/>
      <c r="E858" s="52"/>
    </row>
    <row r="859" spans="3:5" ht="14.25" customHeight="1" x14ac:dyDescent="0.35">
      <c r="C859" s="51"/>
      <c r="E859" s="52"/>
    </row>
    <row r="860" spans="3:5" ht="14.25" customHeight="1" x14ac:dyDescent="0.35">
      <c r="C860" s="51"/>
      <c r="E860" s="52"/>
    </row>
    <row r="861" spans="3:5" ht="14.25" customHeight="1" x14ac:dyDescent="0.35">
      <c r="C861" s="51"/>
      <c r="E861" s="52"/>
    </row>
    <row r="862" spans="3:5" ht="14.25" customHeight="1" x14ac:dyDescent="0.35">
      <c r="C862" s="51"/>
      <c r="E862" s="52"/>
    </row>
    <row r="863" spans="3:5" ht="14.25" customHeight="1" x14ac:dyDescent="0.35">
      <c r="C863" s="51"/>
      <c r="E863" s="52"/>
    </row>
    <row r="864" spans="3:5" ht="14.25" customHeight="1" x14ac:dyDescent="0.35">
      <c r="C864" s="51"/>
      <c r="E864" s="52"/>
    </row>
    <row r="865" spans="3:5" ht="14.25" customHeight="1" x14ac:dyDescent="0.35">
      <c r="C865" s="51"/>
      <c r="E865" s="52"/>
    </row>
    <row r="866" spans="3:5" ht="14.25" customHeight="1" x14ac:dyDescent="0.35">
      <c r="C866" s="51"/>
      <c r="E866" s="52"/>
    </row>
    <row r="867" spans="3:5" ht="14.25" customHeight="1" x14ac:dyDescent="0.35">
      <c r="C867" s="51"/>
      <c r="E867" s="52"/>
    </row>
    <row r="868" spans="3:5" ht="14.25" customHeight="1" x14ac:dyDescent="0.35">
      <c r="C868" s="51"/>
      <c r="E868" s="52"/>
    </row>
    <row r="869" spans="3:5" ht="14.25" customHeight="1" x14ac:dyDescent="0.35">
      <c r="C869" s="51"/>
      <c r="E869" s="52"/>
    </row>
    <row r="870" spans="3:5" ht="14.25" customHeight="1" x14ac:dyDescent="0.35">
      <c r="C870" s="51"/>
      <c r="E870" s="52"/>
    </row>
    <row r="871" spans="3:5" ht="14.25" customHeight="1" x14ac:dyDescent="0.35">
      <c r="C871" s="51"/>
      <c r="E871" s="52"/>
    </row>
    <row r="872" spans="3:5" ht="14.25" customHeight="1" x14ac:dyDescent="0.35">
      <c r="C872" s="51"/>
      <c r="E872" s="52"/>
    </row>
    <row r="873" spans="3:5" ht="14.25" customHeight="1" x14ac:dyDescent="0.35">
      <c r="C873" s="51"/>
      <c r="E873" s="52"/>
    </row>
    <row r="874" spans="3:5" ht="14.25" customHeight="1" x14ac:dyDescent="0.35">
      <c r="C874" s="51"/>
      <c r="E874" s="52"/>
    </row>
    <row r="875" spans="3:5" ht="14.25" customHeight="1" x14ac:dyDescent="0.35">
      <c r="C875" s="51"/>
      <c r="E875" s="52"/>
    </row>
    <row r="876" spans="3:5" ht="14.25" customHeight="1" x14ac:dyDescent="0.35">
      <c r="C876" s="51"/>
      <c r="E876" s="52"/>
    </row>
    <row r="877" spans="3:5" ht="14.25" customHeight="1" x14ac:dyDescent="0.35">
      <c r="C877" s="51"/>
      <c r="E877" s="52"/>
    </row>
    <row r="878" spans="3:5" ht="14.25" customHeight="1" x14ac:dyDescent="0.35">
      <c r="C878" s="51"/>
      <c r="E878" s="52"/>
    </row>
    <row r="879" spans="3:5" ht="14.25" customHeight="1" x14ac:dyDescent="0.35">
      <c r="C879" s="51"/>
      <c r="E879" s="52"/>
    </row>
    <row r="880" spans="3:5" ht="14.25" customHeight="1" x14ac:dyDescent="0.35">
      <c r="C880" s="51"/>
      <c r="E880" s="52"/>
    </row>
    <row r="881" spans="3:5" ht="14.25" customHeight="1" x14ac:dyDescent="0.35">
      <c r="C881" s="51"/>
      <c r="E881" s="52"/>
    </row>
    <row r="882" spans="3:5" ht="14.25" customHeight="1" x14ac:dyDescent="0.35">
      <c r="C882" s="51"/>
      <c r="E882" s="52"/>
    </row>
    <row r="883" spans="3:5" ht="14.25" customHeight="1" x14ac:dyDescent="0.35">
      <c r="C883" s="51"/>
      <c r="E883" s="52"/>
    </row>
    <row r="884" spans="3:5" ht="14.25" customHeight="1" x14ac:dyDescent="0.35">
      <c r="C884" s="51"/>
      <c r="E884" s="52"/>
    </row>
    <row r="885" spans="3:5" ht="14.25" customHeight="1" x14ac:dyDescent="0.35">
      <c r="C885" s="51"/>
      <c r="E885" s="52"/>
    </row>
    <row r="886" spans="3:5" ht="14.25" customHeight="1" x14ac:dyDescent="0.35">
      <c r="C886" s="51"/>
      <c r="E886" s="52"/>
    </row>
    <row r="887" spans="3:5" ht="14.25" customHeight="1" x14ac:dyDescent="0.35">
      <c r="C887" s="51"/>
      <c r="E887" s="52"/>
    </row>
    <row r="888" spans="3:5" ht="14.25" customHeight="1" x14ac:dyDescent="0.35">
      <c r="C888" s="51"/>
      <c r="E888" s="52"/>
    </row>
    <row r="889" spans="3:5" ht="14.25" customHeight="1" x14ac:dyDescent="0.35">
      <c r="C889" s="51"/>
      <c r="E889" s="52"/>
    </row>
    <row r="890" spans="3:5" ht="14.25" customHeight="1" x14ac:dyDescent="0.35">
      <c r="C890" s="51"/>
      <c r="E890" s="52"/>
    </row>
    <row r="891" spans="3:5" ht="14.25" customHeight="1" x14ac:dyDescent="0.35">
      <c r="C891" s="51"/>
      <c r="E891" s="52"/>
    </row>
    <row r="892" spans="3:5" ht="14.25" customHeight="1" x14ac:dyDescent="0.35">
      <c r="C892" s="51"/>
      <c r="E892" s="52"/>
    </row>
    <row r="893" spans="3:5" ht="14.25" customHeight="1" x14ac:dyDescent="0.35">
      <c r="C893" s="51"/>
      <c r="E893" s="52"/>
    </row>
    <row r="894" spans="3:5" ht="14.25" customHeight="1" x14ac:dyDescent="0.35">
      <c r="C894" s="51"/>
      <c r="E894" s="52"/>
    </row>
    <row r="895" spans="3:5" ht="14.25" customHeight="1" x14ac:dyDescent="0.35">
      <c r="C895" s="51"/>
      <c r="E895" s="52"/>
    </row>
    <row r="896" spans="3:5" ht="14.25" customHeight="1" x14ac:dyDescent="0.35">
      <c r="C896" s="51"/>
      <c r="E896" s="52"/>
    </row>
    <row r="897" spans="3:5" ht="14.25" customHeight="1" x14ac:dyDescent="0.35">
      <c r="C897" s="51"/>
      <c r="E897" s="52"/>
    </row>
    <row r="898" spans="3:5" ht="14.25" customHeight="1" x14ac:dyDescent="0.35">
      <c r="C898" s="51"/>
      <c r="E898" s="52"/>
    </row>
    <row r="899" spans="3:5" ht="14.25" customHeight="1" x14ac:dyDescent="0.35">
      <c r="C899" s="51"/>
      <c r="E899" s="52"/>
    </row>
    <row r="900" spans="3:5" ht="14.25" customHeight="1" x14ac:dyDescent="0.35">
      <c r="C900" s="51"/>
      <c r="E900" s="52"/>
    </row>
    <row r="901" spans="3:5" ht="14.25" customHeight="1" x14ac:dyDescent="0.35">
      <c r="C901" s="51"/>
      <c r="E901" s="52"/>
    </row>
    <row r="902" spans="3:5" ht="14.25" customHeight="1" x14ac:dyDescent="0.35">
      <c r="C902" s="51"/>
      <c r="E902" s="52"/>
    </row>
    <row r="903" spans="3:5" ht="14.25" customHeight="1" x14ac:dyDescent="0.35">
      <c r="C903" s="51"/>
      <c r="E903" s="52"/>
    </row>
    <row r="904" spans="3:5" ht="14.25" customHeight="1" x14ac:dyDescent="0.35">
      <c r="C904" s="51"/>
      <c r="E904" s="52"/>
    </row>
    <row r="905" spans="3:5" ht="14.25" customHeight="1" x14ac:dyDescent="0.35">
      <c r="C905" s="51"/>
      <c r="E905" s="52"/>
    </row>
    <row r="906" spans="3:5" ht="14.25" customHeight="1" x14ac:dyDescent="0.35">
      <c r="C906" s="51"/>
      <c r="E906" s="52"/>
    </row>
    <row r="907" spans="3:5" ht="14.25" customHeight="1" x14ac:dyDescent="0.35">
      <c r="C907" s="51"/>
      <c r="E907" s="52"/>
    </row>
    <row r="908" spans="3:5" ht="14.25" customHeight="1" x14ac:dyDescent="0.35">
      <c r="C908" s="51"/>
      <c r="E908" s="52"/>
    </row>
    <row r="909" spans="3:5" ht="14.25" customHeight="1" x14ac:dyDescent="0.35">
      <c r="C909" s="51"/>
      <c r="E909" s="52"/>
    </row>
    <row r="910" spans="3:5" ht="14.25" customHeight="1" x14ac:dyDescent="0.35">
      <c r="C910" s="51"/>
      <c r="E910" s="52"/>
    </row>
    <row r="911" spans="3:5" ht="14.25" customHeight="1" x14ac:dyDescent="0.35">
      <c r="C911" s="51"/>
      <c r="E911" s="52"/>
    </row>
    <row r="912" spans="3:5" ht="14.25" customHeight="1" x14ac:dyDescent="0.35">
      <c r="C912" s="51"/>
      <c r="E912" s="52"/>
    </row>
    <row r="913" spans="3:5" ht="14.25" customHeight="1" x14ac:dyDescent="0.35">
      <c r="C913" s="51"/>
      <c r="E913" s="52"/>
    </row>
    <row r="914" spans="3:5" ht="14.25" customHeight="1" x14ac:dyDescent="0.35">
      <c r="C914" s="51"/>
      <c r="E914" s="52"/>
    </row>
    <row r="915" spans="3:5" ht="14.25" customHeight="1" x14ac:dyDescent="0.35">
      <c r="C915" s="51"/>
      <c r="E915" s="52"/>
    </row>
    <row r="916" spans="3:5" ht="14.25" customHeight="1" x14ac:dyDescent="0.35">
      <c r="C916" s="51"/>
      <c r="E916" s="52"/>
    </row>
    <row r="917" spans="3:5" ht="14.25" customHeight="1" x14ac:dyDescent="0.35">
      <c r="C917" s="51"/>
      <c r="E917" s="52"/>
    </row>
    <row r="918" spans="3:5" ht="14.25" customHeight="1" x14ac:dyDescent="0.35">
      <c r="C918" s="51"/>
      <c r="E918" s="52"/>
    </row>
    <row r="919" spans="3:5" ht="14.25" customHeight="1" x14ac:dyDescent="0.35">
      <c r="C919" s="51"/>
      <c r="E919" s="52"/>
    </row>
    <row r="920" spans="3:5" ht="14.25" customHeight="1" x14ac:dyDescent="0.35">
      <c r="C920" s="51"/>
      <c r="E920" s="52"/>
    </row>
    <row r="921" spans="3:5" ht="14.25" customHeight="1" x14ac:dyDescent="0.35">
      <c r="C921" s="51"/>
      <c r="E921" s="52"/>
    </row>
    <row r="922" spans="3:5" ht="14.25" customHeight="1" x14ac:dyDescent="0.35">
      <c r="C922" s="51"/>
      <c r="E922" s="52"/>
    </row>
    <row r="923" spans="3:5" ht="14.25" customHeight="1" x14ac:dyDescent="0.35">
      <c r="C923" s="51"/>
      <c r="E923" s="52"/>
    </row>
    <row r="924" spans="3:5" ht="14.25" customHeight="1" x14ac:dyDescent="0.35">
      <c r="C924" s="51"/>
      <c r="E924" s="52"/>
    </row>
    <row r="925" spans="3:5" ht="14.25" customHeight="1" x14ac:dyDescent="0.35">
      <c r="C925" s="51"/>
      <c r="E925" s="52"/>
    </row>
    <row r="926" spans="3:5" ht="14.25" customHeight="1" x14ac:dyDescent="0.35">
      <c r="C926" s="51"/>
      <c r="E926" s="52"/>
    </row>
    <row r="927" spans="3:5" ht="14.25" customHeight="1" x14ac:dyDescent="0.35">
      <c r="C927" s="51"/>
      <c r="E927" s="52"/>
    </row>
    <row r="928" spans="3:5" ht="14.25" customHeight="1" x14ac:dyDescent="0.35">
      <c r="C928" s="51"/>
      <c r="E928" s="52"/>
    </row>
    <row r="929" spans="3:5" ht="14.25" customHeight="1" x14ac:dyDescent="0.35">
      <c r="C929" s="51"/>
      <c r="E929" s="52"/>
    </row>
    <row r="930" spans="3:5" ht="14.25" customHeight="1" x14ac:dyDescent="0.35">
      <c r="C930" s="51"/>
      <c r="E930" s="52"/>
    </row>
    <row r="931" spans="3:5" ht="14.25" customHeight="1" x14ac:dyDescent="0.35">
      <c r="C931" s="51"/>
      <c r="E931" s="52"/>
    </row>
    <row r="932" spans="3:5" ht="14.25" customHeight="1" x14ac:dyDescent="0.35">
      <c r="C932" s="51"/>
      <c r="E932" s="52"/>
    </row>
    <row r="933" spans="3:5" ht="14.25" customHeight="1" x14ac:dyDescent="0.35">
      <c r="C933" s="51"/>
      <c r="E933" s="52"/>
    </row>
    <row r="934" spans="3:5" ht="14.25" customHeight="1" x14ac:dyDescent="0.35">
      <c r="C934" s="51"/>
      <c r="E934" s="52"/>
    </row>
    <row r="935" spans="3:5" ht="14.25" customHeight="1" x14ac:dyDescent="0.35">
      <c r="C935" s="51"/>
      <c r="E935" s="52"/>
    </row>
    <row r="936" spans="3:5" ht="14.25" customHeight="1" x14ac:dyDescent="0.35">
      <c r="C936" s="51"/>
      <c r="E936" s="52"/>
    </row>
    <row r="937" spans="3:5" ht="14.25" customHeight="1" x14ac:dyDescent="0.35">
      <c r="C937" s="51"/>
      <c r="E937" s="52"/>
    </row>
    <row r="938" spans="3:5" ht="14.25" customHeight="1" x14ac:dyDescent="0.35">
      <c r="C938" s="51"/>
      <c r="E938" s="52"/>
    </row>
    <row r="939" spans="3:5" ht="14.25" customHeight="1" x14ac:dyDescent="0.35">
      <c r="C939" s="51"/>
      <c r="E939" s="52"/>
    </row>
    <row r="940" spans="3:5" ht="14.25" customHeight="1" x14ac:dyDescent="0.35">
      <c r="C940" s="51"/>
      <c r="E940" s="52"/>
    </row>
    <row r="941" spans="3:5" ht="14.25" customHeight="1" x14ac:dyDescent="0.35">
      <c r="C941" s="51"/>
      <c r="E941" s="52"/>
    </row>
    <row r="942" spans="3:5" ht="14.25" customHeight="1" x14ac:dyDescent="0.35">
      <c r="C942" s="51"/>
      <c r="E942" s="52"/>
    </row>
    <row r="943" spans="3:5" ht="14.25" customHeight="1" x14ac:dyDescent="0.35">
      <c r="C943" s="51"/>
      <c r="E943" s="52"/>
    </row>
    <row r="944" spans="3:5" ht="14.25" customHeight="1" x14ac:dyDescent="0.35">
      <c r="C944" s="51"/>
      <c r="E944" s="52"/>
    </row>
    <row r="945" spans="3:5" ht="14.25" customHeight="1" x14ac:dyDescent="0.35">
      <c r="C945" s="51"/>
      <c r="E945" s="52"/>
    </row>
    <row r="946" spans="3:5" ht="14.25" customHeight="1" x14ac:dyDescent="0.35">
      <c r="C946" s="51"/>
      <c r="E946" s="52"/>
    </row>
    <row r="947" spans="3:5" ht="14.25" customHeight="1" x14ac:dyDescent="0.35">
      <c r="C947" s="51"/>
      <c r="E947" s="52"/>
    </row>
    <row r="948" spans="3:5" ht="14.25" customHeight="1" x14ac:dyDescent="0.35">
      <c r="C948" s="51"/>
      <c r="E948" s="52"/>
    </row>
    <row r="949" spans="3:5" ht="14.25" customHeight="1" x14ac:dyDescent="0.35">
      <c r="C949" s="51"/>
      <c r="E949" s="52"/>
    </row>
    <row r="950" spans="3:5" ht="14.25" customHeight="1" x14ac:dyDescent="0.35">
      <c r="C950" s="51"/>
      <c r="E950" s="52"/>
    </row>
    <row r="951" spans="3:5" ht="14.25" customHeight="1" x14ac:dyDescent="0.35">
      <c r="C951" s="51"/>
      <c r="E951" s="52"/>
    </row>
    <row r="952" spans="3:5" ht="14.25" customHeight="1" x14ac:dyDescent="0.35">
      <c r="C952" s="51"/>
      <c r="E952" s="52"/>
    </row>
    <row r="953" spans="3:5" ht="14.25" customHeight="1" x14ac:dyDescent="0.35">
      <c r="C953" s="51"/>
      <c r="E953" s="52"/>
    </row>
    <row r="954" spans="3:5" ht="14.25" customHeight="1" x14ac:dyDescent="0.35">
      <c r="C954" s="51"/>
      <c r="E954" s="52"/>
    </row>
    <row r="955" spans="3:5" ht="14.25" customHeight="1" x14ac:dyDescent="0.35">
      <c r="C955" s="51"/>
      <c r="E955" s="52"/>
    </row>
    <row r="956" spans="3:5" ht="14.25" customHeight="1" x14ac:dyDescent="0.35">
      <c r="C956" s="51"/>
      <c r="E956" s="52"/>
    </row>
    <row r="957" spans="3:5" ht="14.25" customHeight="1" x14ac:dyDescent="0.35">
      <c r="C957" s="51"/>
      <c r="E957" s="52"/>
    </row>
    <row r="958" spans="3:5" ht="14.25" customHeight="1" x14ac:dyDescent="0.35">
      <c r="C958" s="51"/>
      <c r="E958" s="52"/>
    </row>
    <row r="959" spans="3:5" ht="14.25" customHeight="1" x14ac:dyDescent="0.35">
      <c r="C959" s="51"/>
      <c r="E959" s="52"/>
    </row>
    <row r="960" spans="3:5" ht="14.25" customHeight="1" x14ac:dyDescent="0.35">
      <c r="C960" s="51"/>
      <c r="E960" s="52"/>
    </row>
    <row r="961" spans="3:5" ht="14.25" customHeight="1" x14ac:dyDescent="0.35">
      <c r="C961" s="51"/>
      <c r="E961" s="52"/>
    </row>
    <row r="962" spans="3:5" ht="14.25" customHeight="1" x14ac:dyDescent="0.35">
      <c r="C962" s="51"/>
      <c r="E962" s="52"/>
    </row>
    <row r="963" spans="3:5" ht="14.25" customHeight="1" x14ac:dyDescent="0.35">
      <c r="C963" s="51"/>
      <c r="E963" s="52"/>
    </row>
    <row r="964" spans="3:5" ht="14.25" customHeight="1" x14ac:dyDescent="0.35">
      <c r="C964" s="51"/>
      <c r="E964" s="52"/>
    </row>
    <row r="965" spans="3:5" ht="14.25" customHeight="1" x14ac:dyDescent="0.35">
      <c r="C965" s="51"/>
      <c r="E965" s="52"/>
    </row>
    <row r="966" spans="3:5" ht="14.25" customHeight="1" x14ac:dyDescent="0.35">
      <c r="C966" s="51"/>
      <c r="E966" s="52"/>
    </row>
    <row r="967" spans="3:5" ht="14.25" customHeight="1" x14ac:dyDescent="0.35">
      <c r="C967" s="51"/>
      <c r="E967" s="52"/>
    </row>
    <row r="968" spans="3:5" ht="14.25" customHeight="1" x14ac:dyDescent="0.35">
      <c r="C968" s="51"/>
      <c r="E968" s="52"/>
    </row>
    <row r="969" spans="3:5" ht="14.25" customHeight="1" x14ac:dyDescent="0.35">
      <c r="C969" s="51"/>
      <c r="E969" s="52"/>
    </row>
    <row r="970" spans="3:5" ht="14.25" customHeight="1" x14ac:dyDescent="0.35">
      <c r="C970" s="51"/>
      <c r="E970" s="52"/>
    </row>
    <row r="971" spans="3:5" ht="14.25" customHeight="1" x14ac:dyDescent="0.35">
      <c r="C971" s="51"/>
      <c r="E971" s="52"/>
    </row>
    <row r="972" spans="3:5" ht="14.25" customHeight="1" x14ac:dyDescent="0.35">
      <c r="C972" s="51"/>
      <c r="E972" s="52"/>
    </row>
    <row r="973" spans="3:5" ht="14.25" customHeight="1" x14ac:dyDescent="0.35">
      <c r="C973" s="51"/>
      <c r="E973" s="52"/>
    </row>
    <row r="974" spans="3:5" ht="14.25" customHeight="1" x14ac:dyDescent="0.35">
      <c r="C974" s="51"/>
      <c r="E974" s="52"/>
    </row>
    <row r="975" spans="3:5" ht="14.25" customHeight="1" x14ac:dyDescent="0.35">
      <c r="C975" s="51"/>
      <c r="E975" s="52"/>
    </row>
    <row r="976" spans="3:5" ht="14.25" customHeight="1" x14ac:dyDescent="0.35">
      <c r="C976" s="51"/>
      <c r="E976" s="52"/>
    </row>
    <row r="977" spans="3:5" ht="14.25" customHeight="1" x14ac:dyDescent="0.35">
      <c r="C977" s="51"/>
      <c r="E977" s="52"/>
    </row>
    <row r="978" spans="3:5" ht="14.25" customHeight="1" x14ac:dyDescent="0.35">
      <c r="C978" s="51"/>
      <c r="E978" s="52"/>
    </row>
    <row r="979" spans="3:5" ht="14.25" customHeight="1" x14ac:dyDescent="0.35">
      <c r="C979" s="51"/>
      <c r="E979" s="52"/>
    </row>
    <row r="980" spans="3:5" ht="14.25" customHeight="1" x14ac:dyDescent="0.35">
      <c r="C980" s="51"/>
      <c r="E980" s="52"/>
    </row>
    <row r="981" spans="3:5" ht="14.25" customHeight="1" x14ac:dyDescent="0.35">
      <c r="C981" s="51"/>
      <c r="E981" s="52"/>
    </row>
    <row r="982" spans="3:5" ht="14.25" customHeight="1" x14ac:dyDescent="0.35">
      <c r="C982" s="51"/>
      <c r="E982" s="52"/>
    </row>
    <row r="983" spans="3:5" ht="14.25" customHeight="1" x14ac:dyDescent="0.35">
      <c r="C983" s="51"/>
      <c r="E983" s="52"/>
    </row>
    <row r="984" spans="3:5" ht="14.25" customHeight="1" x14ac:dyDescent="0.35">
      <c r="C984" s="51"/>
      <c r="E984" s="52"/>
    </row>
    <row r="985" spans="3:5" ht="14.25" customHeight="1" x14ac:dyDescent="0.35">
      <c r="C985" s="51"/>
      <c r="E985" s="52"/>
    </row>
    <row r="986" spans="3:5" ht="14.25" customHeight="1" x14ac:dyDescent="0.35">
      <c r="C986" s="51"/>
      <c r="E986" s="52"/>
    </row>
    <row r="987" spans="3:5" ht="14.25" customHeight="1" x14ac:dyDescent="0.35">
      <c r="C987" s="51"/>
      <c r="E987" s="52"/>
    </row>
    <row r="988" spans="3:5" ht="14.25" customHeight="1" x14ac:dyDescent="0.35">
      <c r="C988" s="51"/>
      <c r="E988" s="52"/>
    </row>
    <row r="989" spans="3:5" ht="14.25" customHeight="1" x14ac:dyDescent="0.35">
      <c r="C989" s="51"/>
      <c r="E989" s="52"/>
    </row>
    <row r="990" spans="3:5" ht="14.25" customHeight="1" x14ac:dyDescent="0.35">
      <c r="C990" s="51"/>
      <c r="E990" s="52"/>
    </row>
    <row r="991" spans="3:5" ht="14.25" customHeight="1" x14ac:dyDescent="0.35">
      <c r="C991" s="51"/>
      <c r="E991" s="52"/>
    </row>
    <row r="992" spans="3:5" ht="14.25" customHeight="1" x14ac:dyDescent="0.35">
      <c r="C992" s="51"/>
      <c r="E992" s="52"/>
    </row>
    <row r="993" spans="3:5" ht="14.25" customHeight="1" x14ac:dyDescent="0.35">
      <c r="C993" s="51"/>
      <c r="E993" s="52"/>
    </row>
    <row r="994" spans="3:5" ht="14.25" customHeight="1" x14ac:dyDescent="0.35">
      <c r="C994" s="51"/>
      <c r="E994" s="52"/>
    </row>
    <row r="995" spans="3:5" ht="14.25" customHeight="1" x14ac:dyDescent="0.35">
      <c r="C995" s="51"/>
      <c r="E995" s="52"/>
    </row>
    <row r="996" spans="3:5" ht="14.25" customHeight="1" x14ac:dyDescent="0.35">
      <c r="C996" s="51"/>
      <c r="E996" s="52"/>
    </row>
    <row r="997" spans="3:5" ht="14.25" customHeight="1" x14ac:dyDescent="0.35">
      <c r="C997" s="51"/>
      <c r="E997" s="52"/>
    </row>
    <row r="998" spans="3:5" ht="14.25" customHeight="1" x14ac:dyDescent="0.35">
      <c r="C998" s="51"/>
      <c r="E998" s="52"/>
    </row>
    <row r="999" spans="3:5" ht="14.25" customHeight="1" x14ac:dyDescent="0.35">
      <c r="C999" s="51"/>
      <c r="E999" s="52"/>
    </row>
    <row r="1000" spans="3:5" ht="14.25" customHeight="1" x14ac:dyDescent="0.35">
      <c r="C1000" s="51"/>
      <c r="E1000" s="5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Altman Model</vt:lpstr>
      <vt:lpstr>Sun Pharma Altman</vt:lpstr>
      <vt:lpstr>Profit &amp; Loss</vt:lpstr>
      <vt:lpstr>Balance Sheet</vt:lpstr>
      <vt:lpstr>Cashflow</vt:lpstr>
      <vt:lpstr>BS</vt:lpstr>
      <vt:lpstr>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EA</dc:creator>
  <cp:lastModifiedBy>Akhil EA</cp:lastModifiedBy>
  <dcterms:created xsi:type="dcterms:W3CDTF">2015-06-05T18:17:20Z</dcterms:created>
  <dcterms:modified xsi:type="dcterms:W3CDTF">2026-02-07T07:54:26Z</dcterms:modified>
</cp:coreProperties>
</file>